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d437ae48cb4e9d/Documents/"/>
    </mc:Choice>
  </mc:AlternateContent>
  <xr:revisionPtr revIDLastSave="0" documentId="8_{345A2553-8245-4CEF-9596-1D6FA62F1B61}" xr6:coauthVersionLast="47" xr6:coauthVersionMax="47" xr10:uidLastSave="{00000000-0000-0000-0000-000000000000}"/>
  <bookViews>
    <workbookView xWindow="-108" yWindow="-108" windowWidth="23256" windowHeight="12456" xr2:uid="{DFD4E554-77C4-4C71-9058-45634054CDAF}"/>
  </bookViews>
  <sheets>
    <sheet name="Solutions" sheetId="22" r:id="rId1"/>
    <sheet name="question 1" sheetId="2" r:id="rId2"/>
    <sheet name="question2" sheetId="5" r:id="rId3"/>
    <sheet name="Question3" sheetId="9" r:id="rId4"/>
    <sheet name="Question3.1" sheetId="10" r:id="rId5"/>
    <sheet name="Question4" sheetId="14" r:id="rId6"/>
    <sheet name="Question5" sheetId="17" r:id="rId7"/>
  </sheets>
  <definedNames>
    <definedName name="_xlnm._FilterDatabase" localSheetId="1" hidden="1">'question 1'!$A$6:$M$35</definedName>
    <definedName name="_xlnm._FilterDatabase" localSheetId="2" hidden="1">question2!$A$2:$G$77</definedName>
    <definedName name="_xlnm._FilterDatabase" localSheetId="5" hidden="1">Question4!$A$2:$BN$20</definedName>
    <definedName name="_xlnm._FilterDatabase" localSheetId="6" hidden="1">Question5!$AG$5:$BH$31</definedName>
    <definedName name="Food">Question3.1!$C$1:$O$1</definedName>
    <definedName name="Mmonth">Question3!$C$1:$C$13</definedName>
    <definedName name="month">Question3.1!$C$1:$C$13</definedName>
    <definedName name="sector">Question3!$A$1:$A$13</definedName>
    <definedName name="year">Question3!$B$1:$B$13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0" i="17" l="1"/>
  <c r="M14" i="2"/>
  <c r="T3" i="9" a="1"/>
  <c r="E3" i="5" a="1"/>
  <c r="K10" i="2"/>
  <c r="K9" i="2"/>
  <c r="K8" i="2"/>
  <c r="H8" i="2"/>
  <c r="H9" i="2"/>
  <c r="I11" i="2"/>
  <c r="J8" i="2"/>
  <c r="I8" i="2"/>
  <c r="C35" i="2"/>
  <c r="D35" i="2"/>
  <c r="B35" i="2"/>
  <c r="AV33" i="17"/>
  <c r="AW33" i="17"/>
  <c r="AX33" i="17"/>
  <c r="AY33" i="17"/>
  <c r="AZ33" i="17"/>
  <c r="BA33" i="17"/>
  <c r="BB33" i="17"/>
  <c r="BC33" i="17"/>
  <c r="BD33" i="17"/>
  <c r="BE33" i="17"/>
  <c r="BF33" i="17"/>
  <c r="BG33" i="17"/>
  <c r="BH33" i="17"/>
  <c r="AL33" i="17"/>
  <c r="AM33" i="17"/>
  <c r="AN33" i="17"/>
  <c r="AO33" i="17"/>
  <c r="AP33" i="17"/>
  <c r="AQ33" i="17"/>
  <c r="AR33" i="17"/>
  <c r="AS33" i="17"/>
  <c r="AT33" i="17"/>
  <c r="AU33" i="17"/>
  <c r="AK33" i="17"/>
  <c r="AJ10" i="17"/>
  <c r="AJ17" i="17"/>
  <c r="AJ23" i="17"/>
  <c r="AJ9" i="17"/>
  <c r="AJ8" i="17"/>
  <c r="AJ14" i="17"/>
  <c r="AJ18" i="17"/>
  <c r="AJ16" i="17"/>
  <c r="AJ21" i="17"/>
  <c r="AJ13" i="17"/>
  <c r="AJ12" i="17"/>
  <c r="AJ15" i="17"/>
  <c r="AJ22" i="17"/>
  <c r="AJ19" i="17"/>
  <c r="AJ11" i="17"/>
  <c r="AJ26" i="17"/>
  <c r="AJ27" i="17"/>
  <c r="AJ29" i="17"/>
  <c r="AJ30" i="17"/>
  <c r="AJ25" i="17"/>
  <c r="AJ7" i="17"/>
  <c r="AJ24" i="17"/>
  <c r="AJ31" i="17"/>
  <c r="AJ6" i="17"/>
  <c r="AJ28" i="17"/>
  <c r="CI26" i="14"/>
  <c r="CH26" i="14"/>
  <c r="CG26" i="14"/>
  <c r="CI25" i="14"/>
  <c r="CH25" i="14"/>
  <c r="CG25" i="14"/>
  <c r="CI24" i="14"/>
  <c r="CH24" i="14"/>
  <c r="CG24" i="14"/>
  <c r="CI23" i="14"/>
  <c r="CH23" i="14"/>
  <c r="CG23" i="14"/>
  <c r="CI22" i="14"/>
  <c r="CH22" i="14"/>
  <c r="CG22" i="14"/>
  <c r="CI21" i="14"/>
  <c r="CH21" i="14"/>
  <c r="CG21" i="14"/>
  <c r="CI20" i="14"/>
  <c r="CH20" i="14"/>
  <c r="CG20" i="14"/>
  <c r="CI19" i="14"/>
  <c r="CH19" i="14"/>
  <c r="CG19" i="14"/>
  <c r="CI18" i="14"/>
  <c r="CH18" i="14"/>
  <c r="CG18" i="14"/>
  <c r="CI17" i="14"/>
  <c r="CH17" i="14"/>
  <c r="CG17" i="14"/>
  <c r="CI16" i="14"/>
  <c r="CH16" i="14"/>
  <c r="CG16" i="14"/>
  <c r="CI15" i="14"/>
  <c r="CH15" i="14"/>
  <c r="CG15" i="14"/>
  <c r="CI14" i="14"/>
  <c r="CH14" i="14"/>
  <c r="CG14" i="14"/>
  <c r="CI13" i="14"/>
  <c r="CH13" i="14"/>
  <c r="CG13" i="14"/>
  <c r="CI12" i="14"/>
  <c r="CH12" i="14"/>
  <c r="CG12" i="14"/>
  <c r="CI11" i="14"/>
  <c r="CH11" i="14"/>
  <c r="CG11" i="14"/>
  <c r="CI10" i="14"/>
  <c r="CH10" i="14"/>
  <c r="CG10" i="14"/>
  <c r="CI9" i="14"/>
  <c r="CH9" i="14"/>
  <c r="CG9" i="14"/>
  <c r="CI8" i="14"/>
  <c r="CH8" i="14"/>
  <c r="CG8" i="14"/>
  <c r="CI7" i="14"/>
  <c r="CH7" i="14"/>
  <c r="CG7" i="14"/>
  <c r="CI6" i="14"/>
  <c r="CH6" i="14"/>
  <c r="CG6" i="14"/>
  <c r="CI5" i="14"/>
  <c r="CH5" i="14"/>
  <c r="CG5" i="14"/>
  <c r="CI4" i="14"/>
  <c r="CH4" i="14"/>
  <c r="CG4" i="14"/>
  <c r="BY26" i="14"/>
  <c r="BX26" i="14"/>
  <c r="BY25" i="14"/>
  <c r="BX25" i="14"/>
  <c r="BY24" i="14"/>
  <c r="BX24" i="14"/>
  <c r="BY23" i="14"/>
  <c r="BX23" i="14"/>
  <c r="BY22" i="14"/>
  <c r="BX22" i="14"/>
  <c r="BY21" i="14"/>
  <c r="BX21" i="14"/>
  <c r="BY20" i="14"/>
  <c r="BX20" i="14"/>
  <c r="BY19" i="14"/>
  <c r="BX19" i="14"/>
  <c r="BY18" i="14"/>
  <c r="BX18" i="14"/>
  <c r="BY17" i="14"/>
  <c r="BX17" i="14"/>
  <c r="BY16" i="14"/>
  <c r="BX16" i="14"/>
  <c r="BY15" i="14"/>
  <c r="BX15" i="14"/>
  <c r="BY14" i="14"/>
  <c r="BX14" i="14"/>
  <c r="BY13" i="14"/>
  <c r="BX13" i="14"/>
  <c r="BY12" i="14"/>
  <c r="BX12" i="14"/>
  <c r="BY11" i="14"/>
  <c r="BX11" i="14"/>
  <c r="BY10" i="14"/>
  <c r="BX10" i="14"/>
  <c r="BY9" i="14"/>
  <c r="BX9" i="14"/>
  <c r="BY8" i="14"/>
  <c r="BX8" i="14"/>
  <c r="BY7" i="14"/>
  <c r="BX7" i="14"/>
  <c r="BY6" i="14"/>
  <c r="BX6" i="14"/>
  <c r="BY5" i="14"/>
  <c r="BX5" i="14"/>
  <c r="BY4" i="14"/>
  <c r="BX4" i="14"/>
  <c r="BW26" i="14"/>
  <c r="BW25" i="14"/>
  <c r="BW24" i="14"/>
  <c r="BW23" i="14"/>
  <c r="BW22" i="14"/>
  <c r="BW21" i="14"/>
  <c r="BW20" i="14"/>
  <c r="BW19" i="14"/>
  <c r="BW18" i="14"/>
  <c r="BW17" i="14"/>
  <c r="BW16" i="14"/>
  <c r="BW15" i="14"/>
  <c r="BW14" i="14"/>
  <c r="BW13" i="14"/>
  <c r="BW12" i="14"/>
  <c r="BW11" i="14"/>
  <c r="BW10" i="14"/>
  <c r="BW9" i="14"/>
  <c r="BW8" i="14"/>
  <c r="BW7" i="14"/>
  <c r="BW6" i="14"/>
  <c r="BW5" i="14"/>
  <c r="BW4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5" i="14"/>
  <c r="C26" i="14"/>
  <c r="C24" i="14"/>
  <c r="R4" i="10"/>
  <c r="R3" i="10"/>
  <c r="T4" i="9" a="1"/>
  <c r="U4" i="9" s="1"/>
  <c r="T5" i="9" a="1"/>
  <c r="T6" i="9" a="1"/>
  <c r="U6" i="9" s="1"/>
  <c r="T7" i="9" a="1"/>
  <c r="U7" i="9" s="1"/>
  <c r="T8" i="9" a="1"/>
  <c r="U8" i="9" s="1"/>
  <c r="T9" i="9" a="1"/>
  <c r="U9" i="9" s="1"/>
  <c r="T10" i="9" a="1"/>
  <c r="U10" i="9" s="1"/>
  <c r="T11" i="9" a="1"/>
  <c r="T12" i="9" a="1"/>
  <c r="U13" i="9" s="1"/>
  <c r="T13" i="9" a="1"/>
  <c r="T14" i="9" a="1"/>
  <c r="P2" i="9"/>
  <c r="P13" i="9"/>
  <c r="P12" i="9"/>
  <c r="P11" i="9"/>
  <c r="P10" i="9"/>
  <c r="P9" i="9"/>
  <c r="P8" i="9"/>
  <c r="P7" i="9"/>
  <c r="P6" i="9"/>
  <c r="P5" i="9"/>
  <c r="P4" i="9"/>
  <c r="P3" i="9"/>
  <c r="S4" i="10"/>
  <c r="S5" i="10"/>
  <c r="S6" i="10"/>
  <c r="S7" i="10"/>
  <c r="S8" i="10"/>
  <c r="S9" i="10"/>
  <c r="S10" i="10"/>
  <c r="S11" i="10"/>
  <c r="S12" i="10"/>
  <c r="S13" i="10"/>
  <c r="S14" i="10"/>
  <c r="S3" i="10"/>
  <c r="R5" i="10"/>
  <c r="R6" i="10"/>
  <c r="R7" i="10"/>
  <c r="R8" i="10"/>
  <c r="R9" i="10"/>
  <c r="R10" i="10"/>
  <c r="R11" i="10"/>
  <c r="R12" i="10"/>
  <c r="R13" i="10"/>
  <c r="R14" i="10"/>
  <c r="F4" i="5" a="1"/>
  <c r="F5" i="5" a="1"/>
  <c r="F6" i="5" a="1"/>
  <c r="F7" i="5" a="1"/>
  <c r="F8" i="5" a="1"/>
  <c r="F3" i="5" a="1"/>
  <c r="E4" i="5" a="1"/>
  <c r="E5" i="5" a="1"/>
  <c r="E6" i="5" a="1"/>
  <c r="E7" i="5" a="1"/>
  <c r="E8" i="5" a="1"/>
  <c r="E9" i="5" a="1"/>
  <c r="J9" i="2"/>
  <c r="J10" i="2"/>
  <c r="J11" i="2"/>
  <c r="J12" i="2"/>
  <c r="J13" i="2"/>
  <c r="J14" i="2"/>
  <c r="J15" i="2"/>
  <c r="J16" i="2"/>
  <c r="J17" i="2"/>
  <c r="I9" i="2"/>
  <c r="I10" i="2"/>
  <c r="I12" i="2"/>
  <c r="I13" i="2"/>
  <c r="I14" i="2"/>
  <c r="I15" i="2"/>
  <c r="I16" i="2"/>
  <c r="I17" i="2"/>
  <c r="H10" i="2"/>
  <c r="H11" i="2"/>
  <c r="H12" i="2"/>
  <c r="H13" i="2"/>
  <c r="H14" i="2"/>
  <c r="H15" i="2"/>
  <c r="H16" i="2"/>
  <c r="H17" i="2"/>
  <c r="U14" i="9" l="1"/>
  <c r="U5" i="9"/>
  <c r="AJ33" i="17"/>
  <c r="U12" i="9"/>
  <c r="U11" i="9"/>
  <c r="T4" i="10"/>
  <c r="T5" i="10"/>
  <c r="T6" i="10"/>
  <c r="T7" i="10"/>
  <c r="T8" i="10"/>
  <c r="T9" i="10"/>
  <c r="T10" i="10"/>
  <c r="T11" i="10"/>
  <c r="T12" i="10"/>
  <c r="T13" i="10"/>
  <c r="T14" i="10"/>
  <c r="T3" i="10"/>
  <c r="G6" i="5" s="1"/>
  <c r="G4" i="5" s="1"/>
  <c r="J18" i="2"/>
  <c r="H18" i="2"/>
  <c r="G3" i="5" l="1"/>
  <c r="G7" i="5"/>
  <c r="G8" i="5"/>
  <c r="G5" i="5"/>
  <c r="M9" i="2"/>
  <c r="M11" i="2"/>
  <c r="M12" i="2"/>
  <c r="M13" i="2"/>
  <c r="M15" i="2"/>
  <c r="M16" i="2"/>
  <c r="M18" i="2"/>
  <c r="M10" i="2"/>
  <c r="M8" i="2"/>
  <c r="I18" i="2"/>
  <c r="K18" i="2"/>
  <c r="K16" i="2"/>
  <c r="K15" i="2"/>
  <c r="K14" i="2"/>
  <c r="K13" i="2"/>
  <c r="K12" i="2"/>
  <c r="K11" i="2"/>
  <c r="L9" i="2" l="1"/>
  <c r="L12" i="2"/>
  <c r="L10" i="2"/>
  <c r="L14" i="2"/>
  <c r="L16" i="2"/>
  <c r="L11" i="2"/>
  <c r="L13" i="2"/>
  <c r="L15" i="2"/>
  <c r="L18" i="2"/>
  <c r="L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<sst xmlns="http://schemas.openxmlformats.org/spreadsheetml/2006/main" count="974" uniqueCount="161">
  <si>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</si>
  <si>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</si>
  <si>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</si>
  <si>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</si>
  <si>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</si>
  <si>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</si>
  <si>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</si>
  <si>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</si>
  <si>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</si>
  <si>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</si>
  <si>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</si>
  <si>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</si>
  <si>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</si>
  <si>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</si>
  <si>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</si>
  <si>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</si>
  <si>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</si>
  <si>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</si>
  <si>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</si>
  <si>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</si>
  <si>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</si>
  <si>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</si>
  <si>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</si>
  <si>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</si>
  <si>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</si>
  <si>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</si>
  <si>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</si>
  <si>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</si>
  <si>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</si>
  <si>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</si>
  <si>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</si>
  <si>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</si>
  <si>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</si>
  <si>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</si>
  <si>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</si>
  <si>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</si>
  <si>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</si>
  <si>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</si>
  <si>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</si>
  <si>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</si>
  <si>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</si>
  <si>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</si>
  <si>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</si>
  <si>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</si>
  <si>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</si>
  <si>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</si>
  <si>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</si>
  <si>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Category</t>
  </si>
  <si>
    <t>Food</t>
  </si>
  <si>
    <t>Luxury</t>
  </si>
  <si>
    <t>Misc</t>
  </si>
  <si>
    <t>GI</t>
  </si>
  <si>
    <t>Total</t>
  </si>
  <si>
    <t>average of all</t>
  </si>
  <si>
    <t>Total(except GI)</t>
  </si>
  <si>
    <t>Inflation</t>
  </si>
  <si>
    <t>June'22</t>
  </si>
  <si>
    <t>May'23</t>
  </si>
  <si>
    <t>MoM Inflation</t>
  </si>
  <si>
    <t>YoY Inflation</t>
  </si>
  <si>
    <t>Average</t>
  </si>
  <si>
    <t>Essential services</t>
  </si>
  <si>
    <t>March'2018</t>
  </si>
  <si>
    <t>April'2018</t>
  </si>
  <si>
    <t>May'2018</t>
  </si>
  <si>
    <t>June'2018</t>
  </si>
  <si>
    <t>July'2018</t>
  </si>
  <si>
    <t>August'2018</t>
  </si>
  <si>
    <t>September'2018</t>
  </si>
  <si>
    <t>October'2018</t>
  </si>
  <si>
    <t>November'2018</t>
  </si>
  <si>
    <t>December'2018</t>
  </si>
  <si>
    <t>January'2019</t>
  </si>
  <si>
    <t>February'2019</t>
  </si>
  <si>
    <t>January'2018</t>
  </si>
  <si>
    <t>February'2018</t>
  </si>
  <si>
    <t>March'2019</t>
  </si>
  <si>
    <t>May'2019</t>
  </si>
  <si>
    <t>June'2019</t>
  </si>
  <si>
    <t>July'2019</t>
  </si>
  <si>
    <t>August'2019</t>
  </si>
  <si>
    <t>September'2019</t>
  </si>
  <si>
    <t>October'2019</t>
  </si>
  <si>
    <t>November'2019</t>
  </si>
  <si>
    <t>December'2019</t>
  </si>
  <si>
    <t>January'2020</t>
  </si>
  <si>
    <t>February'2020</t>
  </si>
  <si>
    <t>March'2020</t>
  </si>
  <si>
    <t>April'2020</t>
  </si>
  <si>
    <t>May'2020</t>
  </si>
  <si>
    <t>June'2020</t>
  </si>
  <si>
    <t>July'2020</t>
  </si>
  <si>
    <t>August'2020</t>
  </si>
  <si>
    <t>September'2020</t>
  </si>
  <si>
    <t>October'2020</t>
  </si>
  <si>
    <t>November'2020</t>
  </si>
  <si>
    <t>December'2020</t>
  </si>
  <si>
    <t>January'2021</t>
  </si>
  <si>
    <t>February'2021</t>
  </si>
  <si>
    <t>March'2021</t>
  </si>
  <si>
    <t>April'2021</t>
  </si>
  <si>
    <t>May'2021</t>
  </si>
  <si>
    <t>June'2021</t>
  </si>
  <si>
    <t>July'2021</t>
  </si>
  <si>
    <t>August'2021</t>
  </si>
  <si>
    <t>September'2021</t>
  </si>
  <si>
    <t>October'2021</t>
  </si>
  <si>
    <t>November'2021</t>
  </si>
  <si>
    <t>December'2021</t>
  </si>
  <si>
    <t>January'2022</t>
  </si>
  <si>
    <t>February'2022</t>
  </si>
  <si>
    <t>March'2022</t>
  </si>
  <si>
    <t>April'2022</t>
  </si>
  <si>
    <t>May'2022</t>
  </si>
  <si>
    <t>June'2022</t>
  </si>
  <si>
    <t>July'2022</t>
  </si>
  <si>
    <t>August'2022</t>
  </si>
  <si>
    <t>September'2022</t>
  </si>
  <si>
    <t>October'2022</t>
  </si>
  <si>
    <t>November'2022</t>
  </si>
  <si>
    <t>December'2022</t>
  </si>
  <si>
    <t>January'2023</t>
  </si>
  <si>
    <t>February'2023</t>
  </si>
  <si>
    <t>March'2023</t>
  </si>
  <si>
    <t>April'2023</t>
  </si>
  <si>
    <t>May'2023</t>
  </si>
  <si>
    <t>Month'Year</t>
  </si>
  <si>
    <t>category</t>
  </si>
  <si>
    <t>Febraury'2018 to Febraury'2020</t>
  </si>
  <si>
    <t xml:space="preserve">  </t>
  </si>
  <si>
    <t>Month Year</t>
  </si>
  <si>
    <t>Correlation</t>
  </si>
  <si>
    <t xml:space="preserve"> </t>
  </si>
  <si>
    <t>Rural+Urban inflation Pre and post covid (March'2020)</t>
  </si>
  <si>
    <t>Jun'22</t>
  </si>
  <si>
    <t>Jul'22</t>
  </si>
  <si>
    <t>Aug'22</t>
  </si>
  <si>
    <t>Sep'22</t>
  </si>
  <si>
    <t>Oct'22</t>
  </si>
  <si>
    <t>Nov'22</t>
  </si>
  <si>
    <t>Dec'22</t>
  </si>
  <si>
    <t>Jan'23</t>
  </si>
  <si>
    <t>Feb'23</t>
  </si>
  <si>
    <t>Mar'23</t>
  </si>
  <si>
    <t>Apr'23</t>
  </si>
  <si>
    <r>
      <t xml:space="preserve">3.1 Highest inflation </t>
    </r>
    <r>
      <rPr>
        <b/>
        <sz val="11"/>
        <color theme="1"/>
        <rFont val="Calibri"/>
        <family val="2"/>
        <scheme val="minor"/>
      </rPr>
      <t xml:space="preserve">May'23(0.79%) </t>
    </r>
    <r>
      <rPr>
        <sz val="11"/>
        <color theme="1"/>
        <rFont val="Calibri"/>
        <family val="2"/>
        <scheme val="minor"/>
      </rPr>
      <t xml:space="preserve">&amp; lowest inflation </t>
    </r>
    <r>
      <rPr>
        <b/>
        <sz val="11"/>
        <color theme="1"/>
        <rFont val="Calibri"/>
        <family val="2"/>
        <scheme val="minor"/>
      </rPr>
      <t>Feb'23(-0.68%)</t>
    </r>
  </si>
  <si>
    <r>
      <t>3.2</t>
    </r>
    <r>
      <rPr>
        <b/>
        <sz val="11"/>
        <color theme="1"/>
        <rFont val="Calibri"/>
        <family val="2"/>
        <scheme val="minor"/>
      </rPr>
      <t xml:space="preserve"> Spices</t>
    </r>
    <r>
      <rPr>
        <sz val="11"/>
        <color theme="1"/>
        <rFont val="Calibri"/>
        <family val="2"/>
        <scheme val="minor"/>
      </rPr>
      <t xml:space="preserve"> is the biggest individual contributor from food category(</t>
    </r>
    <r>
      <rPr>
        <b/>
        <sz val="11"/>
        <color theme="1"/>
        <rFont val="Calibri"/>
        <family val="2"/>
        <scheme val="minor"/>
      </rPr>
      <t>17%</t>
    </r>
    <r>
      <rPr>
        <sz val="11"/>
        <color theme="1"/>
        <rFont val="Calibri"/>
        <family val="2"/>
        <scheme val="minor"/>
      </rPr>
      <t>)</t>
    </r>
  </si>
  <si>
    <r>
      <rPr>
        <b/>
        <sz val="12"/>
        <color theme="1"/>
        <rFont val="Calibri"/>
        <family val="2"/>
        <scheme val="minor"/>
      </rPr>
      <t xml:space="preserve">1.Food </t>
    </r>
    <r>
      <rPr>
        <sz val="12"/>
        <color theme="1"/>
        <rFont val="Calibri"/>
        <family val="2"/>
        <scheme val="minor"/>
      </rPr>
      <t>category has the highest contribution towards CPI calculation</t>
    </r>
    <r>
      <rPr>
        <b/>
        <sz val="12"/>
        <color theme="1"/>
        <rFont val="Calibri"/>
        <family val="2"/>
        <scheme val="minor"/>
      </rPr>
      <t xml:space="preserve"> 46%</t>
    </r>
  </si>
  <si>
    <r>
      <t xml:space="preserve">2.The year </t>
    </r>
    <r>
      <rPr>
        <b/>
        <sz val="14"/>
        <color theme="1"/>
        <rFont val="Calibri"/>
        <family val="2"/>
        <scheme val="minor"/>
      </rPr>
      <t>2019</t>
    </r>
    <r>
      <rPr>
        <sz val="14"/>
        <color theme="1"/>
        <rFont val="Calibri"/>
        <family val="2"/>
        <scheme val="minor"/>
      </rPr>
      <t xml:space="preserve"> has the highest inflation</t>
    </r>
    <r>
      <rPr>
        <b/>
        <sz val="14"/>
        <color theme="1"/>
        <rFont val="Calibri"/>
        <family val="2"/>
        <scheme val="minor"/>
      </rPr>
      <t xml:space="preserve"> 7.7%</t>
    </r>
  </si>
  <si>
    <t>Febraury'2018 to Febraury'2020(Rural+Urban)</t>
  </si>
  <si>
    <t>April'2020 to March'2022(Rural+Urban)</t>
  </si>
  <si>
    <t>Broader category</t>
  </si>
  <si>
    <r>
      <rPr>
        <b/>
        <sz val="11"/>
        <color theme="1"/>
        <rFont val="Calibri"/>
        <family val="2"/>
        <scheme val="minor"/>
      </rPr>
      <t>Insight</t>
    </r>
    <r>
      <rPr>
        <sz val="11"/>
        <color theme="1"/>
        <rFont val="Calibri"/>
        <family val="2"/>
        <scheme val="minor"/>
      </rPr>
      <t xml:space="preserve">:Food has the highest contribution to the CPI basket at approximately </t>
    </r>
    <r>
      <rPr>
        <b/>
        <sz val="11"/>
        <color theme="1"/>
        <rFont val="Calibri"/>
        <family val="2"/>
        <scheme val="minor"/>
      </rPr>
      <t>46%</t>
    </r>
    <r>
      <rPr>
        <sz val="11"/>
        <color theme="1"/>
        <rFont val="Calibri"/>
        <family val="2"/>
        <scheme val="minor"/>
      </rPr>
      <t>, indicating that food-related categories account for the largest share of the CPI calculation under the equal-weight bucket approach used in this case study.</t>
    </r>
  </si>
  <si>
    <r>
      <rPr>
        <b/>
        <sz val="11"/>
        <color theme="1"/>
        <rFont val="Calibri"/>
        <family val="2"/>
        <scheme val="minor"/>
      </rPr>
      <t xml:space="preserve">Insight: </t>
    </r>
    <r>
      <rPr>
        <sz val="11"/>
        <color theme="1"/>
        <rFont val="Calibri"/>
        <family val="2"/>
        <scheme val="minor"/>
      </rPr>
      <t xml:space="preserve">Food inflation fluctuated during </t>
    </r>
    <r>
      <rPr>
        <b/>
        <sz val="11"/>
        <color theme="1"/>
        <rFont val="Calibri"/>
        <family val="2"/>
        <scheme val="minor"/>
      </rPr>
      <t>June 2022–May 2023,</t>
    </r>
    <r>
      <rPr>
        <sz val="11"/>
        <color theme="1"/>
        <rFont val="Calibri"/>
        <family val="2"/>
        <scheme val="minor"/>
      </rPr>
      <t xml:space="preserve"> reaching a high of </t>
    </r>
    <r>
      <rPr>
        <b/>
        <sz val="11"/>
        <color theme="1"/>
        <rFont val="Calibri"/>
        <family val="2"/>
        <scheme val="minor"/>
      </rPr>
      <t>0.79</t>
    </r>
    <r>
      <rPr>
        <sz val="11"/>
        <color theme="1"/>
        <rFont val="Calibri"/>
        <family val="2"/>
        <scheme val="minor"/>
      </rPr>
      <t xml:space="preserve">% in May 2023 and a low of </t>
    </r>
    <r>
      <rPr>
        <b/>
        <sz val="11"/>
        <color theme="1"/>
        <rFont val="Calibri"/>
        <family val="2"/>
        <scheme val="minor"/>
      </rPr>
      <t>−0.68%</t>
    </r>
    <r>
      <rPr>
        <sz val="11"/>
        <color theme="1"/>
        <rFont val="Calibri"/>
        <family val="2"/>
        <scheme val="minor"/>
      </rPr>
      <t xml:space="preserve"> in February 2023. The negative value in February indicates a month-on-month decline in the calculated food index.</t>
    </r>
  </si>
  <si>
    <r>
      <t>Insight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>Spices</t>
    </r>
    <r>
      <rPr>
        <sz val="11"/>
        <color theme="1"/>
        <rFont val="Calibri"/>
        <family val="2"/>
        <scheme val="minor"/>
      </rPr>
      <t xml:space="preserve"> recorded the highest increase (</t>
    </r>
    <r>
      <rPr>
        <b/>
        <sz val="11"/>
        <color theme="1"/>
        <rFont val="Calibri"/>
        <family val="2"/>
        <scheme val="minor"/>
      </rPr>
      <t>+17%)</t>
    </r>
    <r>
      <rPr>
        <sz val="11"/>
        <color theme="1"/>
        <rFont val="Calibri"/>
        <family val="2"/>
        <scheme val="minor"/>
      </rPr>
      <t>, while Oils and fats showed the largest decline (</t>
    </r>
    <r>
      <rPr>
        <b/>
        <sz val="11"/>
        <color theme="1"/>
        <rFont val="Calibri"/>
        <family val="2"/>
        <scheme val="minor"/>
      </rPr>
      <t>−15%</t>
    </r>
    <r>
      <rPr>
        <sz val="11"/>
        <color theme="1"/>
        <rFont val="Calibri"/>
        <family val="2"/>
        <scheme val="minor"/>
      </rPr>
      <t>) among the food categories analysed.</t>
    </r>
  </si>
  <si>
    <r>
      <t>Insight:</t>
    </r>
    <r>
      <rPr>
        <sz val="11"/>
        <color theme="1"/>
        <rFont val="Calibri"/>
        <family val="2"/>
        <scheme val="minor"/>
      </rPr>
      <t>Before COVID, Food showed comparatively greater fluctuations, while Health and Essential Services were relatively less variable.</t>
    </r>
  </si>
  <si>
    <r>
      <rPr>
        <b/>
        <sz val="11"/>
        <color theme="1"/>
        <rFont val="Calibri"/>
        <family val="2"/>
        <scheme val="minor"/>
      </rPr>
      <t>Insight: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Meat and fish</t>
    </r>
    <r>
      <rPr>
        <sz val="11"/>
        <color theme="1"/>
        <rFont val="Calibri"/>
        <family val="2"/>
        <scheme val="minor"/>
      </rPr>
      <t xml:space="preserve"> (84%) and </t>
    </r>
    <r>
      <rPr>
        <b/>
        <sz val="11"/>
        <color theme="1"/>
        <rFont val="Calibri"/>
        <family val="2"/>
        <scheme val="minor"/>
      </rPr>
      <t>Oils and fats</t>
    </r>
    <r>
      <rPr>
        <sz val="11"/>
        <color theme="1"/>
        <rFont val="Calibri"/>
        <family val="2"/>
        <scheme val="minor"/>
      </rPr>
      <t xml:space="preserve"> (83%) showed the strongest positive relationships, while </t>
    </r>
    <r>
      <rPr>
        <b/>
        <sz val="11"/>
        <color theme="1"/>
        <rFont val="Calibri"/>
        <family val="2"/>
        <scheme val="minor"/>
      </rPr>
      <t>Egg</t>
    </r>
    <r>
      <rPr>
        <sz val="11"/>
        <color theme="1"/>
        <rFont val="Calibri"/>
        <family val="2"/>
        <scheme val="minor"/>
      </rPr>
      <t xml:space="preserve"> (−20%) showed a weak negative relationship with month-on-month crude-oil price changes. Overall, the results indicate varying degrees of association across categories, but correlation alone does not establish causation.</t>
    </r>
  </si>
  <si>
    <r>
      <t>Insight: 2019</t>
    </r>
    <r>
      <rPr>
        <sz val="11"/>
        <color theme="1"/>
        <rFont val="Calibri"/>
        <family val="2"/>
        <scheme val="minor"/>
      </rPr>
      <t xml:space="preserve"> recorded the highest CPI increase at </t>
    </r>
    <r>
      <rPr>
        <b/>
        <sz val="11"/>
        <color theme="1"/>
        <rFont val="Calibri"/>
        <family val="2"/>
        <scheme val="minor"/>
      </rPr>
      <t>7.7%</t>
    </r>
    <r>
      <rPr>
        <sz val="11"/>
        <color theme="1"/>
        <rFont val="Calibri"/>
        <family val="2"/>
        <scheme val="minor"/>
      </rPr>
      <t>. Within the dataset, the Vegetables index showed a particularly sharp increase of 65.27% from January to December 2019, while several other food-related categories also recorded increases, including Pulses &amp; Products (14.96%) and Food &amp; Beverages (12.81%).</t>
    </r>
  </si>
  <si>
    <r>
      <t xml:space="preserve">Insight: </t>
    </r>
    <r>
      <rPr>
        <sz val="11"/>
        <color theme="1"/>
        <rFont val="Calibri"/>
        <family val="2"/>
        <scheme val="minor"/>
      </rPr>
      <t xml:space="preserve"> After COVID, fluctuations became more noticeable across the selected categories, particularly Food.</t>
    </r>
  </si>
  <si>
    <r>
      <rPr>
        <b/>
        <sz val="11"/>
        <color theme="1"/>
        <rFont val="Calibri"/>
        <family val="2"/>
        <scheme val="minor"/>
      </rPr>
      <t>Overall Insight:</t>
    </r>
    <r>
      <rPr>
        <sz val="11"/>
        <color theme="1"/>
        <rFont val="Calibri"/>
        <family val="2"/>
        <scheme val="minor"/>
      </rPr>
      <t>The comparison shows that inflation patterns changed after the onset of COVID-19, with Food, Health and Essential Services showing different levels of variation</t>
    </r>
  </si>
  <si>
    <r>
      <t xml:space="preserve">5. </t>
    </r>
    <r>
      <rPr>
        <sz val="11"/>
        <color theme="1"/>
        <rFont val="Calibri"/>
        <family val="2"/>
        <scheme val="minor"/>
      </rPr>
      <t xml:space="preserve">Meat and fist, oils and fats and Transport and communication </t>
    </r>
    <r>
      <rPr>
        <b/>
        <sz val="11"/>
        <color theme="1"/>
        <rFont val="Calibri"/>
        <family val="2"/>
        <scheme val="minor"/>
      </rPr>
      <t xml:space="preserve">-positive </t>
    </r>
    <r>
      <rPr>
        <sz val="11"/>
        <color theme="1"/>
        <rFont val="Calibri"/>
        <family val="2"/>
        <scheme val="minor"/>
      </rPr>
      <t>relationship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>Egg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relationship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</si>
</sst>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595959"/>
      <name val="Calibri"/>
      <family val="2"/>
      <scheme val="minor"/>
    </font>
    <font>
      <b/>
      <sz val="11"/>
      <color rgb="FF59595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95">
    <xf numFmtId="0" fontId="0" fillId="0" borderId="0" xfId="0"/>
    <xf numFmtId="0" fontId="0" fillId="33" borderId="0" xfId="0" applyFill="1"/>
    <xf numFmtId="0" fontId="0" fillId="33" borderId="10" xfId="0" applyFill="1" applyBorder="1" applyAlignment="1">
      <alignment horizontal="left"/>
    </xf>
    <xf numFmtId="0" fontId="0" fillId="0" borderId="10" xfId="0" applyBorder="1"/>
    <xf numFmtId="9" fontId="0" fillId="0" borderId="0" xfId="1" applyFont="1"/>
    <xf numFmtId="9" fontId="0" fillId="0" borderId="10" xfId="1" applyFont="1" applyBorder="1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/>
    <xf numFmtId="0" fontId="0" fillId="34" borderId="10" xfId="0" applyFill="1" applyBorder="1"/>
    <xf numFmtId="164" fontId="0" fillId="0" borderId="10" xfId="1" applyNumberFormat="1" applyFont="1" applyBorder="1"/>
    <xf numFmtId="0" fontId="0" fillId="35" borderId="10" xfId="0" applyFill="1" applyBorder="1"/>
    <xf numFmtId="9" fontId="0" fillId="35" borderId="10" xfId="1" applyFont="1" applyFill="1" applyBorder="1"/>
    <xf numFmtId="1" fontId="0" fillId="0" borderId="0" xfId="0" applyNumberFormat="1"/>
    <xf numFmtId="17" fontId="0" fillId="0" borderId="0" xfId="0" applyNumberFormat="1"/>
    <xf numFmtId="165" fontId="0" fillId="0" borderId="10" xfId="0" applyNumberFormat="1" applyBorder="1"/>
    <xf numFmtId="10" fontId="0" fillId="0" borderId="10" xfId="1" applyNumberFormat="1" applyFont="1" applyBorder="1"/>
    <xf numFmtId="10" fontId="0" fillId="33" borderId="10" xfId="1" applyNumberFormat="1" applyFont="1" applyFill="1" applyBorder="1"/>
    <xf numFmtId="10" fontId="0" fillId="35" borderId="10" xfId="1" applyNumberFormat="1" applyFont="1" applyFill="1" applyBorder="1"/>
    <xf numFmtId="10" fontId="0" fillId="0" borderId="0" xfId="0" applyNumberFormat="1"/>
    <xf numFmtId="0" fontId="0" fillId="36" borderId="10" xfId="0" applyFill="1" applyBorder="1"/>
    <xf numFmtId="9" fontId="0" fillId="36" borderId="10" xfId="1" applyFont="1" applyFill="1" applyBorder="1"/>
    <xf numFmtId="0" fontId="0" fillId="37" borderId="0" xfId="0" applyFill="1"/>
    <xf numFmtId="10" fontId="0" fillId="0" borderId="0" xfId="1" applyNumberFormat="1" applyFont="1"/>
    <xf numFmtId="0" fontId="0" fillId="0" borderId="12" xfId="0" applyBorder="1"/>
    <xf numFmtId="0" fontId="0" fillId="38" borderId="10" xfId="0" applyFill="1" applyBorder="1"/>
    <xf numFmtId="0" fontId="0" fillId="36" borderId="11" xfId="0" applyFill="1" applyBorder="1" applyAlignment="1">
      <alignment horizontal="center"/>
    </xf>
    <xf numFmtId="4" fontId="20" fillId="35" borderId="10" xfId="0" applyNumberFormat="1" applyFont="1" applyFill="1" applyBorder="1" applyAlignment="1">
      <alignment horizontal="right" vertical="center"/>
    </xf>
    <xf numFmtId="9" fontId="0" fillId="0" borderId="10" xfId="1" applyFont="1" applyFill="1" applyBorder="1"/>
    <xf numFmtId="9" fontId="0" fillId="0" borderId="0" xfId="1" applyFont="1" applyFill="1" applyBorder="1"/>
    <xf numFmtId="165" fontId="0" fillId="33" borderId="10" xfId="0" applyNumberFormat="1" applyFill="1" applyBorder="1"/>
    <xf numFmtId="165" fontId="0" fillId="33" borderId="10" xfId="0" applyNumberForma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wrapText="1"/>
    </xf>
    <xf numFmtId="10" fontId="0" fillId="0" borderId="10" xfId="1" applyNumberFormat="1" applyFont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3" fillId="0" borderId="0" xfId="0" applyFont="1"/>
    <xf numFmtId="0" fontId="21" fillId="0" borderId="0" xfId="0" applyFont="1"/>
    <xf numFmtId="0" fontId="16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readingOrder="1"/>
    </xf>
    <xf numFmtId="0" fontId="26" fillId="0" borderId="0" xfId="0" applyFont="1" applyAlignment="1">
      <alignment horizontal="center" vertical="center" readingOrder="1"/>
    </xf>
    <xf numFmtId="0" fontId="16" fillId="0" borderId="0" xfId="0" applyFont="1"/>
    <xf numFmtId="0" fontId="22" fillId="0" borderId="0" xfId="0" applyFont="1"/>
    <xf numFmtId="0" fontId="0" fillId="0" borderId="21" xfId="0" applyBorder="1" applyAlignment="1">
      <alignment wrapText="1"/>
    </xf>
    <xf numFmtId="0" fontId="0" fillId="0" borderId="26" xfId="0" applyBorder="1"/>
    <xf numFmtId="0" fontId="0" fillId="33" borderId="21" xfId="0" applyFill="1" applyBorder="1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0" fillId="33" borderId="22" xfId="0" applyFill="1" applyBorder="1" applyAlignment="1">
      <alignment horizontal="left" vertical="top" wrapText="1"/>
    </xf>
    <xf numFmtId="0" fontId="0" fillId="33" borderId="23" xfId="0" applyFill="1" applyBorder="1" applyAlignment="1">
      <alignment horizontal="left" vertical="top" wrapText="1"/>
    </xf>
    <xf numFmtId="0" fontId="0" fillId="33" borderId="24" xfId="0" applyFill="1" applyBorder="1" applyAlignment="1">
      <alignment horizontal="left" vertical="top" wrapText="1"/>
    </xf>
    <xf numFmtId="0" fontId="0" fillId="33" borderId="25" xfId="0" applyFill="1" applyBorder="1" applyAlignment="1">
      <alignment horizontal="left" vertical="top" wrapText="1"/>
    </xf>
    <xf numFmtId="0" fontId="16" fillId="33" borderId="13" xfId="0" applyFont="1" applyFill="1" applyBorder="1" applyAlignment="1">
      <alignment horizontal="left" vertical="top" wrapText="1"/>
    </xf>
    <xf numFmtId="0" fontId="0" fillId="33" borderId="14" xfId="0" applyFill="1" applyBorder="1" applyAlignment="1">
      <alignment horizontal="left" vertical="top" wrapText="1"/>
    </xf>
    <xf numFmtId="0" fontId="0" fillId="33" borderId="33" xfId="0" applyFill="1" applyBorder="1" applyAlignment="1">
      <alignment horizontal="left" vertical="top" wrapText="1"/>
    </xf>
    <xf numFmtId="0" fontId="0" fillId="33" borderId="16" xfId="0" applyFill="1" applyBorder="1" applyAlignment="1">
      <alignment horizontal="left" vertical="top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33" borderId="35" xfId="0" applyFill="1" applyBorder="1" applyAlignment="1">
      <alignment horizontal="left" vertical="top" wrapText="1"/>
    </xf>
    <xf numFmtId="0" fontId="0" fillId="33" borderId="32" xfId="0" applyFill="1" applyBorder="1" applyAlignment="1">
      <alignment horizontal="left" vertical="top" wrapText="1"/>
    </xf>
    <xf numFmtId="0" fontId="0" fillId="33" borderId="15" xfId="0" applyFill="1" applyBorder="1" applyAlignment="1">
      <alignment horizontal="left" vertical="top" wrapText="1"/>
    </xf>
    <xf numFmtId="0" fontId="0" fillId="33" borderId="17" xfId="0" applyFill="1" applyBorder="1" applyAlignment="1">
      <alignment horizontal="left" vertical="top" wrapText="1"/>
    </xf>
    <xf numFmtId="0" fontId="0" fillId="33" borderId="34" xfId="0" applyFill="1" applyBorder="1" applyAlignment="1">
      <alignment horizontal="left" vertical="top" wrapText="1"/>
    </xf>
    <xf numFmtId="0" fontId="16" fillId="0" borderId="0" xfId="0" applyFont="1" applyAlignment="1">
      <alignment horizontal="center"/>
    </xf>
    <xf numFmtId="0" fontId="16" fillId="33" borderId="21" xfId="0" applyFont="1" applyFill="1" applyBorder="1" applyAlignment="1">
      <alignment horizontal="left" vertical="top" wrapText="1"/>
    </xf>
    <xf numFmtId="0" fontId="16" fillId="33" borderId="0" xfId="0" applyFont="1" applyFill="1" applyAlignment="1">
      <alignment horizontal="left" vertical="top" wrapText="1"/>
    </xf>
    <xf numFmtId="0" fontId="16" fillId="33" borderId="22" xfId="0" applyFont="1" applyFill="1" applyBorder="1" applyAlignment="1">
      <alignment horizontal="left" vertical="top" wrapText="1"/>
    </xf>
    <xf numFmtId="0" fontId="16" fillId="33" borderId="23" xfId="0" applyFont="1" applyFill="1" applyBorder="1" applyAlignment="1">
      <alignment horizontal="left" vertical="top" wrapText="1"/>
    </xf>
    <xf numFmtId="0" fontId="16" fillId="33" borderId="24" xfId="0" applyFont="1" applyFill="1" applyBorder="1" applyAlignment="1">
      <alignment horizontal="left" vertical="top" wrapText="1"/>
    </xf>
    <xf numFmtId="0" fontId="16" fillId="33" borderId="25" xfId="0" applyFont="1" applyFill="1" applyBorder="1" applyAlignment="1">
      <alignment horizontal="left" vertical="top" wrapText="1"/>
    </xf>
    <xf numFmtId="0" fontId="16" fillId="33" borderId="27" xfId="0" applyFont="1" applyFill="1" applyBorder="1" applyAlignment="1">
      <alignment horizontal="left" vertical="top" wrapText="1"/>
    </xf>
    <xf numFmtId="0" fontId="16" fillId="33" borderId="28" xfId="0" applyFont="1" applyFill="1" applyBorder="1" applyAlignment="1">
      <alignment horizontal="left" vertical="top" wrapText="1"/>
    </xf>
    <xf numFmtId="0" fontId="16" fillId="33" borderId="30" xfId="0" applyFont="1" applyFill="1" applyBorder="1" applyAlignment="1">
      <alignment horizontal="left" vertical="top" wrapText="1"/>
    </xf>
    <xf numFmtId="0" fontId="16" fillId="33" borderId="10" xfId="0" applyFont="1" applyFill="1" applyBorder="1" applyAlignment="1">
      <alignment horizontal="left" vertical="top" wrapText="1"/>
    </xf>
    <xf numFmtId="0" fontId="16" fillId="33" borderId="29" xfId="0" applyFont="1" applyFill="1" applyBorder="1" applyAlignment="1">
      <alignment horizontal="left" vertical="top" wrapText="1"/>
    </xf>
    <xf numFmtId="0" fontId="16" fillId="33" borderId="31" xfId="0" applyFont="1" applyFill="1" applyBorder="1" applyAlignment="1">
      <alignment horizontal="left" vertical="top" wrapText="1"/>
    </xf>
    <xf numFmtId="17" fontId="0" fillId="33" borderId="11" xfId="0" applyNumberForma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0" borderId="0" xfId="0" applyFont="1" applyAlignment="1">
      <alignment horizontal="left" wrapText="1"/>
    </xf>
    <xf numFmtId="0" fontId="0" fillId="38" borderId="11" xfId="0" applyFill="1" applyBorder="1" applyAlignment="1">
      <alignment horizontal="center"/>
    </xf>
    <xf numFmtId="0" fontId="0" fillId="0" borderId="11" xfId="0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4" xfId="43" xr:uid="{FCFA9A0D-A930-41A2-99E9-AFCD5919731F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CPI Category Contribution – May 2023</a:t>
            </a:r>
            <a:endParaRPr lang="en-US" sz="1100" b="1"/>
          </a:p>
        </c:rich>
      </c:tx>
      <c:layout>
        <c:manualLayout>
          <c:xMode val="edge"/>
          <c:yMode val="edge"/>
          <c:x val="0.24618836417160014"/>
          <c:y val="3.2192770867083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1'!$M$7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0-41C4-AFDC-986B8BD5A7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80-41C4-AFDC-986B8BD5A7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80-41C4-AFDC-986B8BD5A7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80-41C4-AFDC-986B8BD5A7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80-41C4-AFDC-986B8BD5A7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80-41C4-AFDC-986B8BD5A7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80-41C4-AFDC-986B8BD5A7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80-41C4-AFDC-986B8BD5A7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80-41C4-AFDC-986B8BD5A7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1'!$M$8:$M$16</c:f>
              <c:numCache>
                <c:formatCode>0%</c:formatCode>
                <c:ptCount val="9"/>
                <c:pt idx="0">
                  <c:v>0.45838346510828465</c:v>
                </c:pt>
                <c:pt idx="1">
                  <c:v>0.15701271914747336</c:v>
                </c:pt>
                <c:pt idx="2">
                  <c:v>0.11885527672739775</c:v>
                </c:pt>
                <c:pt idx="3">
                  <c:v>3.9897731179099345E-2</c:v>
                </c:pt>
                <c:pt idx="4">
                  <c:v>3.9274664833276046E-2</c:v>
                </c:pt>
                <c:pt idx="5">
                  <c:v>3.8050017188037126E-2</c:v>
                </c:pt>
                <c:pt idx="6">
                  <c:v>7.5369542798212438E-2</c:v>
                </c:pt>
                <c:pt idx="7">
                  <c:v>3.7749226538329322E-2</c:v>
                </c:pt>
                <c:pt idx="8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C80-41C4-AFDC-986B8BD5A7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34553289534466E-2"/>
          <c:y val="0.86764739773381983"/>
          <c:w val="0.90418847100634159"/>
          <c:h val="0.11299148582037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Annual CPI Inflation Trend – 2017–2022</a:t>
            </a:r>
            <a:endParaRPr lang="en-IN" b="1"/>
          </a:p>
        </c:rich>
      </c:tx>
      <c:layout>
        <c:manualLayout>
          <c:xMode val="edge"/>
          <c:yMode val="edge"/>
          <c:x val="0.247986001749781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question2!$K$2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368110236220473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C0-438F-B94D-A30FD15DDE93}"/>
                </c:ext>
              </c:extLst>
            </c:dLbl>
            <c:dLbl>
              <c:idx val="1"/>
              <c:layout>
                <c:manualLayout>
                  <c:x val="-4.5590332458442698E-2"/>
                  <c:y val="5.5555555555555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C0-438F-B94D-A30FD15DDE93}"/>
                </c:ext>
              </c:extLst>
            </c:dLbl>
            <c:dLbl>
              <c:idx val="2"/>
              <c:layout>
                <c:manualLayout>
                  <c:x val="-5.1145888013998247E-2"/>
                  <c:y val="-5.555555555555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C0-438F-B94D-A30FD15DDE93}"/>
                </c:ext>
              </c:extLst>
            </c:dLbl>
            <c:dLbl>
              <c:idx val="3"/>
              <c:layout>
                <c:manualLayout>
                  <c:x val="-4.8368110236220577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C0-438F-B94D-A30FD15DDE93}"/>
                </c:ext>
              </c:extLst>
            </c:dLbl>
            <c:dLbl>
              <c:idx val="4"/>
              <c:layout>
                <c:manualLayout>
                  <c:x val="-4.8368110236220577E-2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C0-438F-B94D-A30FD15DDE93}"/>
                </c:ext>
              </c:extLst>
            </c:dLbl>
            <c:dLbl>
              <c:idx val="5"/>
              <c:layout>
                <c:manualLayout>
                  <c:x val="-4.8368110236220577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C0-438F-B94D-A30FD15DDE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question2!$J$3:$J$8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question2!$K$3:$K$8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C0-438F-B94D-A30FD15DD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87887"/>
        <c:axId val="23601807"/>
      </c:lineChart>
      <c:catAx>
        <c:axId val="235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1807"/>
        <c:crosses val="autoZero"/>
        <c:auto val="1"/>
        <c:lblAlgn val="ctr"/>
        <c:lblOffset val="100"/>
        <c:noMultiLvlLbl val="0"/>
      </c:catAx>
      <c:valAx>
        <c:axId val="2360180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2358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Monthly Food Inflation – Jun 2022 to May 2023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Question3!$X$2</c:f>
              <c:strCache>
                <c:ptCount val="1"/>
                <c:pt idx="0">
                  <c:v>MoM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Question3!$W$3:$W$14</c:f>
              <c:strCache>
                <c:ptCount val="12"/>
                <c:pt idx="0">
                  <c:v>Jun'22</c:v>
                </c:pt>
                <c:pt idx="1">
                  <c:v>Jul'22</c:v>
                </c:pt>
                <c:pt idx="2">
                  <c:v>Aug'22</c:v>
                </c:pt>
                <c:pt idx="3">
                  <c:v>Sep'22</c:v>
                </c:pt>
                <c:pt idx="4">
                  <c:v>Oct'22</c:v>
                </c:pt>
                <c:pt idx="5">
                  <c:v>Nov'22</c:v>
                </c:pt>
                <c:pt idx="6">
                  <c:v>Dec'22</c:v>
                </c:pt>
                <c:pt idx="7">
                  <c:v>Jan'23</c:v>
                </c:pt>
                <c:pt idx="8">
                  <c:v>Feb'23</c:v>
                </c:pt>
                <c:pt idx="9">
                  <c:v>Mar'23</c:v>
                </c:pt>
                <c:pt idx="10">
                  <c:v>Apr'23</c:v>
                </c:pt>
                <c:pt idx="11">
                  <c:v>May'23</c:v>
                </c:pt>
              </c:strCache>
            </c:strRef>
          </c:cat>
          <c:val>
            <c:numRef>
              <c:f>Question3!$X$3:$X$14</c:f>
              <c:numCache>
                <c:formatCode>0.00%</c:formatCode>
                <c:ptCount val="12"/>
                <c:pt idx="1">
                  <c:v>1.8624641833811866E-3</c:v>
                </c:pt>
                <c:pt idx="2">
                  <c:v>1.1916678583344165E-3</c:v>
                </c:pt>
                <c:pt idx="3">
                  <c:v>5.2847076747286883E-3</c:v>
                </c:pt>
                <c:pt idx="4">
                  <c:v>7.5301918067723714E-3</c:v>
                </c:pt>
                <c:pt idx="5">
                  <c:v>-4.7005734699654729E-4</c:v>
                </c:pt>
                <c:pt idx="6">
                  <c:v>-6.5838976674188997E-3</c:v>
                </c:pt>
                <c:pt idx="7">
                  <c:v>4.2132171937133553E-3</c:v>
                </c:pt>
                <c:pt idx="8">
                  <c:v>-6.8354311035684588E-3</c:v>
                </c:pt>
                <c:pt idx="9">
                  <c:v>4.7465350293918221E-5</c:v>
                </c:pt>
                <c:pt idx="10">
                  <c:v>4.6513835492907303E-3</c:v>
                </c:pt>
                <c:pt idx="11">
                  <c:v>7.9368828837339846E-3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4-44CE-AAFD-7AB621E9CBB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7653663"/>
        <c:axId val="1977656063"/>
      </c:lineChart>
      <c:catAx>
        <c:axId val="197765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6063"/>
        <c:crosses val="autoZero"/>
        <c:auto val="1"/>
        <c:lblAlgn val="ctr"/>
        <c:lblOffset val="100"/>
        <c:noMultiLvlLbl val="0"/>
      </c:catAx>
      <c:valAx>
        <c:axId val="197765606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7765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Food Category Price Change – Jun 2022 to May 2023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20166229221348"/>
          <c:y val="0.19721055701370663"/>
          <c:w val="0.82805730533683286"/>
          <c:h val="0.77736111111111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Question3.1!$W$2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Question3.1!$V$3:$V$14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Prepared meals, snacks, sweets etc.</c:v>
                </c:pt>
                <c:pt idx="11">
                  <c:v>Food and beverages</c:v>
                </c:pt>
              </c:strCache>
            </c:strRef>
          </c:cat>
          <c:val>
            <c:numRef>
              <c:f>Question3.1!$W$3:$W$14</c:f>
              <c:numCache>
                <c:formatCode>0%</c:formatCode>
                <c:ptCount val="12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5.6008700380641561E-2</c:v>
                </c:pt>
                <c:pt idx="11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C96-9377-808F5C6A47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2179471"/>
        <c:axId val="752172271"/>
      </c:barChart>
      <c:catAx>
        <c:axId val="7521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2271"/>
        <c:crosses val="autoZero"/>
        <c:auto val="1"/>
        <c:lblAlgn val="ctr"/>
        <c:lblOffset val="100"/>
        <c:noMultiLvlLbl val="0"/>
      </c:catAx>
      <c:valAx>
        <c:axId val="752172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75217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Correlation Between Crude Oil Price Changes and CPI Categories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Question5!$AJ$5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Question5!$AI$6:$AI$31</c:f>
              <c:strCache>
                <c:ptCount val="26"/>
                <c:pt idx="0">
                  <c:v>Meat and fish</c:v>
                </c:pt>
                <c:pt idx="1">
                  <c:v>Oils and fats</c:v>
                </c:pt>
                <c:pt idx="2">
                  <c:v>Transport and communication</c:v>
                </c:pt>
                <c:pt idx="3">
                  <c:v>Recreation and amusement</c:v>
                </c:pt>
                <c:pt idx="4">
                  <c:v>Miscellaneous</c:v>
                </c:pt>
                <c:pt idx="5">
                  <c:v>Non-alcoholic beverages</c:v>
                </c:pt>
                <c:pt idx="6">
                  <c:v>Footwear</c:v>
                </c:pt>
                <c:pt idx="7">
                  <c:v>Clothing and footwear</c:v>
                </c:pt>
                <c:pt idx="8">
                  <c:v>Health</c:v>
                </c:pt>
                <c:pt idx="9">
                  <c:v>Clothing</c:v>
                </c:pt>
                <c:pt idx="10">
                  <c:v>Fuel and light</c:v>
                </c:pt>
                <c:pt idx="11">
                  <c:v>Personal care and effects</c:v>
                </c:pt>
                <c:pt idx="12">
                  <c:v>Household goods and services</c:v>
                </c:pt>
                <c:pt idx="13">
                  <c:v>Prepared meals, snacks, sweets etc.</c:v>
                </c:pt>
                <c:pt idx="14">
                  <c:v>Food and beverages</c:v>
                </c:pt>
                <c:pt idx="15">
                  <c:v>Housing</c:v>
                </c:pt>
                <c:pt idx="16">
                  <c:v>Pan, tobacco and intoxicants</c:v>
                </c:pt>
                <c:pt idx="17">
                  <c:v>Education</c:v>
                </c:pt>
                <c:pt idx="18">
                  <c:v>Milk and products</c:v>
                </c:pt>
                <c:pt idx="19">
                  <c:v>Fruits</c:v>
                </c:pt>
                <c:pt idx="20">
                  <c:v>Spices</c:v>
                </c:pt>
                <c:pt idx="21">
                  <c:v>Sugar and Confectionery</c:v>
                </c:pt>
                <c:pt idx="22">
                  <c:v>Cereals and products</c:v>
                </c:pt>
                <c:pt idx="23">
                  <c:v>Pulses and products</c:v>
                </c:pt>
                <c:pt idx="24">
                  <c:v>Vegetables</c:v>
                </c:pt>
                <c:pt idx="25">
                  <c:v>Egg</c:v>
                </c:pt>
              </c:strCache>
            </c:strRef>
          </c:cat>
          <c:val>
            <c:numRef>
              <c:f>Question5!$AJ$6:$AJ$31</c:f>
              <c:numCache>
                <c:formatCode>0%</c:formatCode>
                <c:ptCount val="26"/>
                <c:pt idx="0">
                  <c:v>0.84191192019168415</c:v>
                </c:pt>
                <c:pt idx="1">
                  <c:v>0.82620259475660895</c:v>
                </c:pt>
                <c:pt idx="2">
                  <c:v>0.81520166268737893</c:v>
                </c:pt>
                <c:pt idx="3">
                  <c:v>0.78563045522865071</c:v>
                </c:pt>
                <c:pt idx="4">
                  <c:v>0.76560004102965407</c:v>
                </c:pt>
                <c:pt idx="5">
                  <c:v>0.75260403886846317</c:v>
                </c:pt>
                <c:pt idx="6">
                  <c:v>0.74869562674882939</c:v>
                </c:pt>
                <c:pt idx="7">
                  <c:v>0.7393580301817575</c:v>
                </c:pt>
                <c:pt idx="8">
                  <c:v>0.73881995293995806</c:v>
                </c:pt>
                <c:pt idx="9">
                  <c:v>0.73718735666666269</c:v>
                </c:pt>
                <c:pt idx="10">
                  <c:v>0.73695384515053841</c:v>
                </c:pt>
                <c:pt idx="11">
                  <c:v>0.73372084561697026</c:v>
                </c:pt>
                <c:pt idx="12">
                  <c:v>0.73037374022525769</c:v>
                </c:pt>
                <c:pt idx="13">
                  <c:v>0.71816936627720163</c:v>
                </c:pt>
                <c:pt idx="14">
                  <c:v>0.71771593094288821</c:v>
                </c:pt>
                <c:pt idx="15">
                  <c:v>0.69787802521406628</c:v>
                </c:pt>
                <c:pt idx="16">
                  <c:v>0.68867161411370348</c:v>
                </c:pt>
                <c:pt idx="17">
                  <c:v>0.65313864265722477</c:v>
                </c:pt>
                <c:pt idx="18">
                  <c:v>0.63436438765675618</c:v>
                </c:pt>
                <c:pt idx="19">
                  <c:v>0.59139323105135344</c:v>
                </c:pt>
                <c:pt idx="20">
                  <c:v>0.59053727341757856</c:v>
                </c:pt>
                <c:pt idx="21">
                  <c:v>0.56709729181669644</c:v>
                </c:pt>
                <c:pt idx="22">
                  <c:v>0.50782673928104072</c:v>
                </c:pt>
                <c:pt idx="23">
                  <c:v>0.36427003644529937</c:v>
                </c:pt>
                <c:pt idx="24">
                  <c:v>0.35074653398470973</c:v>
                </c:pt>
                <c:pt idx="25">
                  <c:v>-0.2036224701816976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1-47E0-B020-3E5AC017DE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28040096"/>
        <c:axId val="34968496"/>
      </c:barChart>
      <c:catAx>
        <c:axId val="16280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8496"/>
        <c:crosses val="autoZero"/>
        <c:auto val="1"/>
        <c:lblAlgn val="ctr"/>
        <c:lblOffset val="100"/>
        <c:noMultiLvlLbl val="0"/>
      </c:catAx>
      <c:valAx>
        <c:axId val="349684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280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Pre-COVID Inflation – Before March 2020</a:t>
            </a:r>
            <a:endParaRPr lang="en-US" sz="1200" b="1"/>
          </a:p>
        </c:rich>
      </c:tx>
      <c:layout>
        <c:manualLayout>
          <c:xMode val="edge"/>
          <c:yMode val="edge"/>
          <c:x val="0.1870334854134156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Question4!$BW$2:$BW$3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Question4!$BW$4:$BW$26</c:f>
              <c:numCache>
                <c:formatCode>0.00%</c:formatCode>
                <c:ptCount val="23"/>
                <c:pt idx="0">
                  <c:v>-3.0028189729131246E-3</c:v>
                </c:pt>
                <c:pt idx="1">
                  <c:v>3.6879955744061488E-4</c:v>
                </c:pt>
                <c:pt idx="2">
                  <c:v>1.4746543778798907E-3</c:v>
                </c:pt>
                <c:pt idx="3">
                  <c:v>8.5281305601572609E-3</c:v>
                </c:pt>
                <c:pt idx="4">
                  <c:v>1.2896946100498732E-2</c:v>
                </c:pt>
                <c:pt idx="5">
                  <c:v>1.5615615615617801E-3</c:v>
                </c:pt>
                <c:pt idx="6">
                  <c:v>-1.133365315423375E-2</c:v>
                </c:pt>
                <c:pt idx="7">
                  <c:v>-3.6998847576878197E-3</c:v>
                </c:pt>
                <c:pt idx="8">
                  <c:v>-2.4351637647630414E-4</c:v>
                </c:pt>
                <c:pt idx="9">
                  <c:v>-8.0379978078191517E-3</c:v>
                </c:pt>
                <c:pt idx="10">
                  <c:v>-5.4634745242478529E-3</c:v>
                </c:pt>
                <c:pt idx="11">
                  <c:v>2.0986358866736483E-3</c:v>
                </c:pt>
                <c:pt idx="12">
                  <c:v>3.5109331690793182E-3</c:v>
                </c:pt>
                <c:pt idx="13">
                  <c:v>1.7616007856616839E-2</c:v>
                </c:pt>
                <c:pt idx="14">
                  <c:v>1.3269799143494642E-2</c:v>
                </c:pt>
                <c:pt idx="15">
                  <c:v>1.3631763795464002E-2</c:v>
                </c:pt>
                <c:pt idx="16">
                  <c:v>5.1679586563306559E-3</c:v>
                </c:pt>
                <c:pt idx="17">
                  <c:v>6.4851600841316871E-3</c:v>
                </c:pt>
                <c:pt idx="18">
                  <c:v>1.6137458640506159E-2</c:v>
                </c:pt>
                <c:pt idx="19">
                  <c:v>1.4338760354184729E-2</c:v>
                </c:pt>
                <c:pt idx="20">
                  <c:v>1.9542689794998964E-2</c:v>
                </c:pt>
                <c:pt idx="21">
                  <c:v>-3.3143677843453243E-3</c:v>
                </c:pt>
                <c:pt idx="22">
                  <c:v>-1.6183561491991381E-2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6-49AC-8150-A6FFDD07BC3F}"/>
            </c:ext>
          </c:extLst>
        </c:ser>
        <c:ser>
          <c:idx val="1"/>
          <c:order val="1"/>
          <c:tx>
            <c:strRef>
              <c:f>Question4!$BX$2:$BX$3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Question4!$BX$4:$BX$26</c:f>
              <c:numCache>
                <c:formatCode>0.00%</c:formatCode>
                <c:ptCount val="23"/>
                <c:pt idx="0">
                  <c:v>3.7180249851281118E-3</c:v>
                </c:pt>
                <c:pt idx="1">
                  <c:v>6.5194843680542814E-3</c:v>
                </c:pt>
                <c:pt idx="2">
                  <c:v>4.7107316355072494E-3</c:v>
                </c:pt>
                <c:pt idx="3">
                  <c:v>3.663003663003663E-3</c:v>
                </c:pt>
                <c:pt idx="4">
                  <c:v>7.5912408759125577E-3</c:v>
                </c:pt>
                <c:pt idx="5">
                  <c:v>7.2442770211530822E-3</c:v>
                </c:pt>
                <c:pt idx="6">
                  <c:v>6.1852704257768535E-3</c:v>
                </c:pt>
                <c:pt idx="7">
                  <c:v>1.1722659042173086E-2</c:v>
                </c:pt>
                <c:pt idx="8">
                  <c:v>-2.8260562385205921E-4</c:v>
                </c:pt>
                <c:pt idx="9">
                  <c:v>-1.9787985865724464E-3</c:v>
                </c:pt>
                <c:pt idx="10">
                  <c:v>-2.5492139923524548E-3</c:v>
                </c:pt>
                <c:pt idx="11">
                  <c:v>7.0992474797667421E-4</c:v>
                </c:pt>
                <c:pt idx="12">
                  <c:v>3.6889897843362567E-3</c:v>
                </c:pt>
                <c:pt idx="13">
                  <c:v>4.5236075770425949E-3</c:v>
                </c:pt>
                <c:pt idx="14">
                  <c:v>1.2665353222629243E-3</c:v>
                </c:pt>
                <c:pt idx="15">
                  <c:v>3.0920590302176338E-3</c:v>
                </c:pt>
                <c:pt idx="16">
                  <c:v>2.2418383074122297E-3</c:v>
                </c:pt>
                <c:pt idx="17">
                  <c:v>2.7960296379140031E-3</c:v>
                </c:pt>
                <c:pt idx="18">
                  <c:v>4.1823504809704645E-3</c:v>
                </c:pt>
                <c:pt idx="19">
                  <c:v>4.0261002360128589E-3</c:v>
                </c:pt>
                <c:pt idx="20">
                  <c:v>6.3606194690264614E-3</c:v>
                </c:pt>
                <c:pt idx="21">
                  <c:v>5.3586150041220193E-3</c:v>
                </c:pt>
                <c:pt idx="22">
                  <c:v>4.3733770671041056E-3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6-49AC-8150-A6FFDD07BC3F}"/>
            </c:ext>
          </c:extLst>
        </c:ser>
        <c:ser>
          <c:idx val="2"/>
          <c:order val="2"/>
          <c:tx>
            <c:strRef>
              <c:f>Question4!$BY$2:$BY$3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Question4!$BY$4:$BY$26</c:f>
              <c:numCache>
                <c:formatCode>0.00%</c:formatCode>
                <c:ptCount val="23"/>
                <c:pt idx="0">
                  <c:v>3.7369207772795215E-3</c:v>
                </c:pt>
                <c:pt idx="1">
                  <c:v>6.7014147431122646E-3</c:v>
                </c:pt>
                <c:pt idx="2">
                  <c:v>5.9171597633136943E-3</c:v>
                </c:pt>
                <c:pt idx="3">
                  <c:v>1.4705882352940341E-3</c:v>
                </c:pt>
                <c:pt idx="4">
                  <c:v>5.8737151248165302E-3</c:v>
                </c:pt>
                <c:pt idx="5">
                  <c:v>5.1094890510948072E-3</c:v>
                </c:pt>
                <c:pt idx="6">
                  <c:v>5.0835148874365807E-3</c:v>
                </c:pt>
                <c:pt idx="7">
                  <c:v>2.6734104046242692E-2</c:v>
                </c:pt>
                <c:pt idx="8">
                  <c:v>0</c:v>
                </c:pt>
                <c:pt idx="9">
                  <c:v>1.9704433497537026E-2</c:v>
                </c:pt>
                <c:pt idx="10">
                  <c:v>1.3802622498273887E-3</c:v>
                </c:pt>
                <c:pt idx="11">
                  <c:v>3.4458993797381117E-3</c:v>
                </c:pt>
                <c:pt idx="12">
                  <c:v>4.120879120879082E-3</c:v>
                </c:pt>
                <c:pt idx="13">
                  <c:v>4.7879616963065466E-3</c:v>
                </c:pt>
                <c:pt idx="14">
                  <c:v>3.4036759700476512E-3</c:v>
                </c:pt>
                <c:pt idx="15">
                  <c:v>3.3921302578018993E-3</c:v>
                </c:pt>
                <c:pt idx="16">
                  <c:v>4.0567951318458036E-3</c:v>
                </c:pt>
                <c:pt idx="17">
                  <c:v>3.3670033670033669E-3</c:v>
                </c:pt>
                <c:pt idx="18">
                  <c:v>2.6845637583892998E-3</c:v>
                </c:pt>
                <c:pt idx="19">
                  <c:v>3.3467202141900937E-3</c:v>
                </c:pt>
                <c:pt idx="20">
                  <c:v>3.3355570380253501E-3</c:v>
                </c:pt>
                <c:pt idx="21">
                  <c:v>5.319148936170099E-3</c:v>
                </c:pt>
                <c:pt idx="22">
                  <c:v>3.3068783068783071E-3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6-49AC-8150-A6FFDD07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228240"/>
        <c:axId val="939111696"/>
      </c:lineChart>
      <c:catAx>
        <c:axId val="16182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11696"/>
        <c:crosses val="autoZero"/>
        <c:auto val="1"/>
        <c:lblAlgn val="ctr"/>
        <c:lblOffset val="100"/>
        <c:noMultiLvlLbl val="0"/>
      </c:catAx>
      <c:valAx>
        <c:axId val="93911169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/>
              <a:t>Post-COVID Inflation – After March 2020</a:t>
            </a:r>
            <a:endParaRPr lang="en-IN" sz="1200" b="1"/>
          </a:p>
        </c:rich>
      </c:tx>
      <c:layout>
        <c:manualLayout>
          <c:xMode val="edge"/>
          <c:yMode val="edge"/>
          <c:x val="0.19072373666899234"/>
          <c:y val="7.6716532412734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163670166229222"/>
          <c:y val="0.20412037037037037"/>
          <c:w val="0.85836329833770775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Question4!$CG$2:$CG$3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Question4!$CG$4:$CG$26</c15:sqref>
                  </c15:fullRef>
                </c:ext>
              </c:extLst>
              <c:f>(Question4!$CG$4:$CG$5,Question4!$CG$7:$CG$26)</c:f>
              <c:numCache>
                <c:formatCode>0.00%</c:formatCode>
                <c:ptCount val="22"/>
                <c:pt idx="0">
                  <c:v>2.2451320187540612E-2</c:v>
                </c:pt>
                <c:pt idx="1">
                  <c:v>2.3517473551412887E-3</c:v>
                </c:pt>
                <c:pt idx="2">
                  <c:v>1.4884535405494045E-2</c:v>
                </c:pt>
                <c:pt idx="3">
                  <c:v>5.4998382400519106E-3</c:v>
                </c:pt>
                <c:pt idx="4">
                  <c:v>2.1342771342771502E-2</c:v>
                </c:pt>
                <c:pt idx="5">
                  <c:v>2.3364485981308289E-2</c:v>
                </c:pt>
                <c:pt idx="6">
                  <c:v>5.5410189318147183E-3</c:v>
                </c:pt>
                <c:pt idx="7">
                  <c:v>-1.7960100005102498E-2</c:v>
                </c:pt>
                <c:pt idx="8">
                  <c:v>-2.1250064945186074E-2</c:v>
                </c:pt>
                <c:pt idx="9">
                  <c:v>-4.777577237499759E-4</c:v>
                </c:pt>
                <c:pt idx="10">
                  <c:v>1.2533857347708335E-2</c:v>
                </c:pt>
                <c:pt idx="11">
                  <c:v>2.0928402832415528E-2</c:v>
                </c:pt>
                <c:pt idx="12">
                  <c:v>1.4128647759966884E-2</c:v>
                </c:pt>
                <c:pt idx="13">
                  <c:v>6.1806575814380166E-3</c:v>
                </c:pt>
                <c:pt idx="14">
                  <c:v>-3.4237953778762167E-3</c:v>
                </c:pt>
                <c:pt idx="15">
                  <c:v>-1.7231370341274595E-16</c:v>
                </c:pt>
                <c:pt idx="16">
                  <c:v>1.6672561006416581E-2</c:v>
                </c:pt>
                <c:pt idx="17">
                  <c:v>8.9946827013862567E-3</c:v>
                </c:pt>
                <c:pt idx="18">
                  <c:v>-6.747438928289903E-3</c:v>
                </c:pt>
                <c:pt idx="19">
                  <c:v>-8.3304408191600468E-3</c:v>
                </c:pt>
                <c:pt idx="20">
                  <c:v>-1.7000850042500307E-3</c:v>
                </c:pt>
                <c:pt idx="21">
                  <c:v>1.1219634360130272E-2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8-43E5-9FBC-B0A8C85ECEF2}"/>
            </c:ext>
          </c:extLst>
        </c:ser>
        <c:ser>
          <c:idx val="1"/>
          <c:order val="1"/>
          <c:tx>
            <c:strRef>
              <c:f>Question4!$CH$2:$CH$3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Question4!$CH$4:$CH$26</c15:sqref>
                  </c15:fullRef>
                </c:ext>
              </c:extLst>
              <c:f>(Question4!$CH$4:$CH$5,Question4!$CH$7:$CH$26)</c:f>
              <c:numCache>
                <c:formatCode>0.00%</c:formatCode>
                <c:ptCount val="22"/>
                <c:pt idx="0">
                  <c:v>-1.6007674341007531E-2</c:v>
                </c:pt>
                <c:pt idx="1">
                  <c:v>-3.8741617992388696E-3</c:v>
                </c:pt>
                <c:pt idx="2">
                  <c:v>1.2935729847494592E-2</c:v>
                </c:pt>
                <c:pt idx="3">
                  <c:v>1.4786933727651489E-3</c:v>
                </c:pt>
                <c:pt idx="4">
                  <c:v>3.2214765100670455E-3</c:v>
                </c:pt>
                <c:pt idx="5">
                  <c:v>3.2111319240033329E-3</c:v>
                </c:pt>
                <c:pt idx="6">
                  <c:v>4.0010669511869454E-3</c:v>
                </c:pt>
                <c:pt idx="7">
                  <c:v>5.1806588735387963E-3</c:v>
                </c:pt>
                <c:pt idx="8">
                  <c:v>1.4536804546055352E-2</c:v>
                </c:pt>
                <c:pt idx="9">
                  <c:v>6.903738439494423E-3</c:v>
                </c:pt>
                <c:pt idx="10">
                  <c:v>3.4928848641657211E-3</c:v>
                </c:pt>
                <c:pt idx="11">
                  <c:v>1.3020497615057249E-2</c:v>
                </c:pt>
                <c:pt idx="12">
                  <c:v>2.1634003563247863E-3</c:v>
                </c:pt>
                <c:pt idx="13">
                  <c:v>8.6349206349205405E-3</c:v>
                </c:pt>
                <c:pt idx="14">
                  <c:v>7.176129925720854E-3</c:v>
                </c:pt>
                <c:pt idx="15">
                  <c:v>-1.2499999999988632E-4</c:v>
                </c:pt>
                <c:pt idx="16">
                  <c:v>7.375921990248468E-3</c:v>
                </c:pt>
                <c:pt idx="17">
                  <c:v>8.6870191114447274E-4</c:v>
                </c:pt>
                <c:pt idx="18">
                  <c:v>1.6119032858027953E-3</c:v>
                </c:pt>
                <c:pt idx="19">
                  <c:v>3.9613765783608956E-3</c:v>
                </c:pt>
                <c:pt idx="20">
                  <c:v>5.3020961775586545E-3</c:v>
                </c:pt>
                <c:pt idx="21">
                  <c:v>4.7835152704526008E-3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8-43E5-9FBC-B0A8C85ECEF2}"/>
            </c:ext>
          </c:extLst>
        </c:ser>
        <c:ser>
          <c:idx val="2"/>
          <c:order val="2"/>
          <c:tx>
            <c:strRef>
              <c:f>Question4!$CI$2:$CI$3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Question4!$CI$4:$CI$26</c15:sqref>
                  </c15:fullRef>
                </c:ext>
              </c:extLst>
              <c:f>(Question4!$CI$4:$CI$5,Question4!$CI$7:$CI$26)</c:f>
              <c:numCache>
                <c:formatCode>0.00%</c:formatCode>
                <c:ptCount val="22"/>
                <c:pt idx="0">
                  <c:v>1.2276045122760603E-2</c:v>
                </c:pt>
                <c:pt idx="1">
                  <c:v>1.2127171419206779E-2</c:v>
                </c:pt>
                <c:pt idx="2">
                  <c:v>3.8860103626942636E-3</c:v>
                </c:pt>
                <c:pt idx="3">
                  <c:v>3.870967741935447E-3</c:v>
                </c:pt>
                <c:pt idx="4">
                  <c:v>4.4987146529564077E-3</c:v>
                </c:pt>
                <c:pt idx="5">
                  <c:v>5.7581573896351712E-3</c:v>
                </c:pt>
                <c:pt idx="6">
                  <c:v>6.9974554707380584E-3</c:v>
                </c:pt>
                <c:pt idx="7">
                  <c:v>6.3171193935565376E-3</c:v>
                </c:pt>
                <c:pt idx="8">
                  <c:v>1.2554927809165096E-2</c:v>
                </c:pt>
                <c:pt idx="9">
                  <c:v>2.4798512089273233E-3</c:v>
                </c:pt>
                <c:pt idx="10">
                  <c:v>3.7105751391467087E-3</c:v>
                </c:pt>
                <c:pt idx="11">
                  <c:v>2.1565003080714726E-2</c:v>
                </c:pt>
                <c:pt idx="12">
                  <c:v>3.0156815440289505E-3</c:v>
                </c:pt>
                <c:pt idx="13">
                  <c:v>4.2092603728201361E-3</c:v>
                </c:pt>
                <c:pt idx="14">
                  <c:v>8.3832335329341659E-3</c:v>
                </c:pt>
                <c:pt idx="15">
                  <c:v>0</c:v>
                </c:pt>
                <c:pt idx="16">
                  <c:v>4.1567695961994573E-3</c:v>
                </c:pt>
                <c:pt idx="17">
                  <c:v>4.730928444707341E-3</c:v>
                </c:pt>
                <c:pt idx="18">
                  <c:v>4.1200706297821578E-3</c:v>
                </c:pt>
                <c:pt idx="19">
                  <c:v>4.6893317702228097E-3</c:v>
                </c:pt>
                <c:pt idx="20">
                  <c:v>4.6674445740955833E-3</c:v>
                </c:pt>
                <c:pt idx="21">
                  <c:v>4.6457607433217848E-3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8-43E5-9FBC-B0A8C85EC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157887"/>
        <c:axId val="1045483919"/>
      </c:lineChart>
      <c:catAx>
        <c:axId val="64615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3919"/>
        <c:crosses val="autoZero"/>
        <c:auto val="1"/>
        <c:lblAlgn val="ctr"/>
        <c:lblOffset val="100"/>
        <c:noMultiLvlLbl val="0"/>
      </c:catAx>
      <c:valAx>
        <c:axId val="1045483919"/>
        <c:scaling>
          <c:orientation val="minMax"/>
          <c:min val="-2.0000000000000004E-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5762317684972911E-2"/>
          <c:y val="0.91812193568795808"/>
          <c:w val="0.65353397191330465"/>
          <c:h val="8.1878064312041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different categories for </a:t>
            </a:r>
            <a:r>
              <a:rPr lang="en-US" b="1"/>
              <a:t>Rural+Urban</a:t>
            </a:r>
            <a:r>
              <a:rPr lang="en-US"/>
              <a:t>:</a:t>
            </a:r>
            <a:r>
              <a:rPr lang="en-US" baseline="0"/>
              <a:t> Food, Luxury,clothing, Health,Fuel &amp; light, Education, Misc and Transport &amp; communication</a:t>
            </a:r>
            <a:endParaRPr lang="en-US"/>
          </a:p>
        </c:rich>
      </c:tx>
      <c:layout>
        <c:manualLayout>
          <c:xMode val="edge"/>
          <c:yMode val="edge"/>
          <c:x val="0.14814860099009364"/>
          <c:y val="3.2192817361244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1'!$M$7</c:f>
              <c:strCache>
                <c:ptCount val="1"/>
                <c:pt idx="0">
                  <c:v>Rural+Urban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3-4DBF-B781-B032DFDC1C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3-4DBF-B781-B032DFDC1C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3-4DBF-B781-B032DFDC1C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63-4DBF-B781-B032DFDC1C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63-4DBF-B781-B032DFDC1C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63-4DBF-B781-B032DFDC1C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63-4DBF-B781-B032DFDC1C6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963-4DBF-B781-B032DFDC1C6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963-4DBF-B781-B032DFDC1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1'!$M$8:$M$16</c:f>
              <c:numCache>
                <c:formatCode>0%</c:formatCode>
                <c:ptCount val="9"/>
                <c:pt idx="0">
                  <c:v>0.45838346510828465</c:v>
                </c:pt>
                <c:pt idx="1">
                  <c:v>0.15701271914747336</c:v>
                </c:pt>
                <c:pt idx="2">
                  <c:v>0.11885527672739775</c:v>
                </c:pt>
                <c:pt idx="3">
                  <c:v>3.9897731179099345E-2</c:v>
                </c:pt>
                <c:pt idx="4">
                  <c:v>3.9274664833276046E-2</c:v>
                </c:pt>
                <c:pt idx="5">
                  <c:v>3.8050017188037126E-2</c:v>
                </c:pt>
                <c:pt idx="6">
                  <c:v>7.5369542798212438E-2</c:v>
                </c:pt>
                <c:pt idx="7">
                  <c:v>3.7749226538329322E-2</c:v>
                </c:pt>
                <c:pt idx="8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4-4736-9A75-C0D4E78370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834553289534466E-2"/>
          <c:y val="0.86764739773381983"/>
          <c:w val="0.90418847100634159"/>
          <c:h val="0.11299148582037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Contribution of different categories for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Rural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: Food, Luxury,clothing, Health,Fuel &amp; light, Education, Misc and Transport &amp; communication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1'!$K$7</c:f>
              <c:strCache>
                <c:ptCount val="1"/>
                <c:pt idx="0">
                  <c:v>Rural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C0-47D5-8E9C-11AC4488FF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C0-47D5-8E9C-11AC4488FF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C0-47D5-8E9C-11AC4488FF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C0-47D5-8E9C-11AC4488FF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C0-47D5-8E9C-11AC4488FF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C0-47D5-8E9C-11AC4488FF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C0-47D5-8E9C-11AC4488FF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C0-47D5-8E9C-11AC4488FFB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C0-47D5-8E9C-11AC4488FF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1'!$K$8:$K$16</c:f>
              <c:numCache>
                <c:formatCode>0.00%</c:formatCode>
                <c:ptCount val="9"/>
                <c:pt idx="0">
                  <c:v>0.46945852227260604</c:v>
                </c:pt>
                <c:pt idx="1">
                  <c:v>0.16388814795056458</c:v>
                </c:pt>
                <c:pt idx="2">
                  <c:v>0.12667822530452563</c:v>
                </c:pt>
                <c:pt idx="3">
                  <c:v>4.174446519071752E-2</c:v>
                </c:pt>
                <c:pt idx="4">
                  <c:v>4.0566373255090236E-2</c:v>
                </c:pt>
                <c:pt idx="5">
                  <c:v>4.0077353961056272E-2</c:v>
                </c:pt>
                <c:pt idx="6">
                  <c:v>3.9966213212412192E-2</c:v>
                </c:pt>
                <c:pt idx="7">
                  <c:v>3.9899528763225736E-2</c:v>
                </c:pt>
                <c:pt idx="8">
                  <c:v>3.7721170089801713E-2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A-4EDC-8163-C66D9268C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Contribution of different categories for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Urban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: Food, Luxury,clothing, Health,Fuel &amp; light, Education, Misc and Transport &amp; communication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'question 1'!$L$7</c:f>
              <c:strCache>
                <c:ptCount val="1"/>
                <c:pt idx="0">
                  <c:v>Urban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AE-46B2-8034-E7C47DD18D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AE-46B2-8034-E7C47DD18D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AE-46B2-8034-E7C47DD18D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AE-46B2-8034-E7C47DD18D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AE-46B2-8034-E7C47DD18D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AAE-46B2-8034-E7C47DD18DA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AE-46B2-8034-E7C47DD18DA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AAE-46B2-8034-E7C47DD18DA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AE-46B2-8034-E7C47DD18DA9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AE-46B2-8034-E7C47DD18DA9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AE-46B2-8034-E7C47DD18DA9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AE-46B2-8034-E7C47DD18DA9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AE-46B2-8034-E7C47DD18DA9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AE-46B2-8034-E7C47DD18DA9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AE-46B2-8034-E7C47DD18DA9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AE-46B2-8034-E7C47DD18DA9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AE-46B2-8034-E7C47DD18DA9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AE-46B2-8034-E7C47DD18D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'question 1'!$G$8:$G$16</c:f>
              <c:strCache>
                <c:ptCount val="9"/>
                <c:pt idx="0">
                  <c:v>Food</c:v>
                </c:pt>
                <c:pt idx="1">
                  <c:v>Luxury</c:v>
                </c:pt>
                <c:pt idx="2">
                  <c:v>Clothing</c:v>
                </c:pt>
                <c:pt idx="3">
                  <c:v>Health</c:v>
                </c:pt>
                <c:pt idx="4">
                  <c:v>Fuel and light</c:v>
                </c:pt>
                <c:pt idx="5">
                  <c:v>Education</c:v>
                </c:pt>
                <c:pt idx="6">
                  <c:v>Housing</c:v>
                </c:pt>
                <c:pt idx="7">
                  <c:v>Misc</c:v>
                </c:pt>
                <c:pt idx="8">
                  <c:v>Transport and communication</c:v>
                </c:pt>
              </c:strCache>
            </c:strRef>
          </c:cat>
          <c:val>
            <c:numRef>
              <c:f>'question 1'!$L$8:$L$16</c:f>
              <c:numCache>
                <c:formatCode>0.00%</c:formatCode>
                <c:ptCount val="9"/>
                <c:pt idx="0">
                  <c:v>0.46740933870585449</c:v>
                </c:pt>
                <c:pt idx="1">
                  <c:v>0.15619815122066838</c:v>
                </c:pt>
                <c:pt idx="2">
                  <c:v>0.11392186860307267</c:v>
                </c:pt>
                <c:pt idx="3">
                  <c:v>3.9259626365575638E-2</c:v>
                </c:pt>
                <c:pt idx="4">
                  <c:v>3.9518196901463076E-2</c:v>
                </c:pt>
                <c:pt idx="5">
                  <c:v>3.7665108060936453E-2</c:v>
                </c:pt>
                <c:pt idx="6">
                  <c:v>7.4489861880238734E-2</c:v>
                </c:pt>
                <c:pt idx="7">
                  <c:v>3.6975586631903291E-2</c:v>
                </c:pt>
                <c:pt idx="8">
                  <c:v>3.4562261630287229E-2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E-46B2-8034-E7C47DD18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YoY Rural+Urban inflation trend</a:t>
            </a:r>
          </a:p>
        </c:rich>
      </c:tx>
      <c:layout>
        <c:manualLayout>
          <c:xMode val="edge"/>
          <c:yMode val="edge"/>
          <c:x val="0.2479860017497812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question2!$K$2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368110236220473E-2"/>
                  <c:y val="-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BE-4E74-B745-275E625A8128}"/>
                </c:ext>
              </c:extLst>
            </c:dLbl>
            <c:dLbl>
              <c:idx val="1"/>
              <c:layout>
                <c:manualLayout>
                  <c:x val="-4.5590332458442698E-2"/>
                  <c:y val="5.5555555555555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BE-4E74-B745-275E625A8128}"/>
                </c:ext>
              </c:extLst>
            </c:dLbl>
            <c:dLbl>
              <c:idx val="2"/>
              <c:layout>
                <c:manualLayout>
                  <c:x val="-5.1145888013998247E-2"/>
                  <c:y val="-5.555555555555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BE-4E74-B745-275E625A8128}"/>
                </c:ext>
              </c:extLst>
            </c:dLbl>
            <c:dLbl>
              <c:idx val="3"/>
              <c:layout>
                <c:manualLayout>
                  <c:x val="-4.8368110236220577E-2"/>
                  <c:y val="4.6296296296296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BE-4E74-B745-275E625A8128}"/>
                </c:ext>
              </c:extLst>
            </c:dLbl>
            <c:dLbl>
              <c:idx val="4"/>
              <c:layout>
                <c:manualLayout>
                  <c:x val="-4.8368110236220577E-2"/>
                  <c:y val="5.5555555555555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BE-4E74-B745-275E625A8128}"/>
                </c:ext>
              </c:extLst>
            </c:dLbl>
            <c:dLbl>
              <c:idx val="5"/>
              <c:layout>
                <c:manualLayout>
                  <c:x val="-4.8368110236220577E-2"/>
                  <c:y val="6.9444444444444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BE-4E74-B745-275E625A81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question2!$J$3:$J$8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question2!$K$3:$K$8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1-4A3A-BE25-3F7F672C3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87887"/>
        <c:axId val="23601807"/>
      </c:lineChart>
      <c:catAx>
        <c:axId val="235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1807"/>
        <c:crosses val="autoZero"/>
        <c:auto val="1"/>
        <c:lblAlgn val="ctr"/>
        <c:lblOffset val="100"/>
        <c:noMultiLvlLbl val="0"/>
      </c:catAx>
      <c:valAx>
        <c:axId val="236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Question3!$X$2</c:f>
              <c:strCache>
                <c:ptCount val="1"/>
                <c:pt idx="0">
                  <c:v>MoM 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Question3!$W$3:$W$14</c:f>
              <c:strCache>
                <c:ptCount val="12"/>
                <c:pt idx="0">
                  <c:v>Jun'22</c:v>
                </c:pt>
                <c:pt idx="1">
                  <c:v>Jul'22</c:v>
                </c:pt>
                <c:pt idx="2">
                  <c:v>Aug'22</c:v>
                </c:pt>
                <c:pt idx="3">
                  <c:v>Sep'22</c:v>
                </c:pt>
                <c:pt idx="4">
                  <c:v>Oct'22</c:v>
                </c:pt>
                <c:pt idx="5">
                  <c:v>Nov'22</c:v>
                </c:pt>
                <c:pt idx="6">
                  <c:v>Dec'22</c:v>
                </c:pt>
                <c:pt idx="7">
                  <c:v>Jan'23</c:v>
                </c:pt>
                <c:pt idx="8">
                  <c:v>Feb'23</c:v>
                </c:pt>
                <c:pt idx="9">
                  <c:v>Mar'23</c:v>
                </c:pt>
                <c:pt idx="10">
                  <c:v>Apr'23</c:v>
                </c:pt>
                <c:pt idx="11">
                  <c:v>May'23</c:v>
                </c:pt>
              </c:strCache>
            </c:strRef>
          </c:cat>
          <c:val>
            <c:numRef>
              <c:f>Question3!$X$3:$X$14</c:f>
              <c:numCache>
                <c:formatCode>0.00%</c:formatCode>
                <c:ptCount val="12"/>
                <c:pt idx="1">
                  <c:v>1.8624641833811866E-3</c:v>
                </c:pt>
                <c:pt idx="2">
                  <c:v>1.1916678583344165E-3</c:v>
                </c:pt>
                <c:pt idx="3">
                  <c:v>5.2847076747286883E-3</c:v>
                </c:pt>
                <c:pt idx="4">
                  <c:v>7.5301918067723714E-3</c:v>
                </c:pt>
                <c:pt idx="5">
                  <c:v>-4.7005734699654729E-4</c:v>
                </c:pt>
                <c:pt idx="6">
                  <c:v>-6.5838976674188997E-3</c:v>
                </c:pt>
                <c:pt idx="7">
                  <c:v>4.2132171937133553E-3</c:v>
                </c:pt>
                <c:pt idx="8">
                  <c:v>-6.8354311035684588E-3</c:v>
                </c:pt>
                <c:pt idx="9">
                  <c:v>4.7465350293918221E-5</c:v>
                </c:pt>
                <c:pt idx="10">
                  <c:v>4.6513835492907303E-3</c:v>
                </c:pt>
                <c:pt idx="11">
                  <c:v>7.9368828837339846E-3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D-4BD1-A648-09220BA6A28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77653663"/>
        <c:axId val="1977656063"/>
      </c:lineChart>
      <c:catAx>
        <c:axId val="197765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6063"/>
        <c:crosses val="autoZero"/>
        <c:auto val="1"/>
        <c:lblAlgn val="ctr"/>
        <c:lblOffset val="100"/>
        <c:noMultiLvlLbl val="0"/>
      </c:catAx>
      <c:valAx>
        <c:axId val="197765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65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 inflation for different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20166229221348"/>
          <c:y val="0.19721055701370663"/>
          <c:w val="0.82805730533683286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Question3.1!$W$2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Question3.1!$V$3:$V$14</c:f>
              <c:strCache>
                <c:ptCount val="12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Prepared meals, snacks, sweets etc.</c:v>
                </c:pt>
                <c:pt idx="11">
                  <c:v>Food and beverages</c:v>
                </c:pt>
              </c:strCache>
            </c:strRef>
          </c:cat>
          <c:val>
            <c:numRef>
              <c:f>Question3.1!$W$3:$W$14</c:f>
              <c:numCache>
                <c:formatCode>0%</c:formatCode>
                <c:ptCount val="12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5.6008700380641561E-2</c:v>
                </c:pt>
                <c:pt idx="11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1-4707-9A90-9D80F26CB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2179471"/>
        <c:axId val="752172271"/>
      </c:barChart>
      <c:catAx>
        <c:axId val="752179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2271"/>
        <c:crosses val="autoZero"/>
        <c:auto val="1"/>
        <c:lblAlgn val="ctr"/>
        <c:lblOffset val="100"/>
        <c:noMultiLvlLbl val="0"/>
      </c:catAx>
      <c:valAx>
        <c:axId val="75217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Rural+Urban inflation pre covid(Feb'2018 to Feb'2020)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Question4!$BW$2:$BW$3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Question4!$BW$4:$BW$26</c:f>
              <c:numCache>
                <c:formatCode>0.00%</c:formatCode>
                <c:ptCount val="23"/>
                <c:pt idx="0">
                  <c:v>-3.0028189729131246E-3</c:v>
                </c:pt>
                <c:pt idx="1">
                  <c:v>3.6879955744061488E-4</c:v>
                </c:pt>
                <c:pt idx="2">
                  <c:v>1.4746543778798907E-3</c:v>
                </c:pt>
                <c:pt idx="3">
                  <c:v>8.5281305601572609E-3</c:v>
                </c:pt>
                <c:pt idx="4">
                  <c:v>1.2896946100498732E-2</c:v>
                </c:pt>
                <c:pt idx="5">
                  <c:v>1.5615615615617801E-3</c:v>
                </c:pt>
                <c:pt idx="6">
                  <c:v>-1.133365315423375E-2</c:v>
                </c:pt>
                <c:pt idx="7">
                  <c:v>-3.6998847576878197E-3</c:v>
                </c:pt>
                <c:pt idx="8">
                  <c:v>-2.4351637647630414E-4</c:v>
                </c:pt>
                <c:pt idx="9">
                  <c:v>-8.0379978078191517E-3</c:v>
                </c:pt>
                <c:pt idx="10">
                  <c:v>-5.4634745242478529E-3</c:v>
                </c:pt>
                <c:pt idx="11">
                  <c:v>2.0986358866736483E-3</c:v>
                </c:pt>
                <c:pt idx="12">
                  <c:v>3.5109331690793182E-3</c:v>
                </c:pt>
                <c:pt idx="13">
                  <c:v>1.7616007856616839E-2</c:v>
                </c:pt>
                <c:pt idx="14">
                  <c:v>1.3269799143494642E-2</c:v>
                </c:pt>
                <c:pt idx="15">
                  <c:v>1.3631763795464002E-2</c:v>
                </c:pt>
                <c:pt idx="16">
                  <c:v>5.1679586563306559E-3</c:v>
                </c:pt>
                <c:pt idx="17">
                  <c:v>6.4851600841316871E-3</c:v>
                </c:pt>
                <c:pt idx="18">
                  <c:v>1.6137458640506159E-2</c:v>
                </c:pt>
                <c:pt idx="19">
                  <c:v>1.4338760354184729E-2</c:v>
                </c:pt>
                <c:pt idx="20">
                  <c:v>1.9542689794998964E-2</c:v>
                </c:pt>
                <c:pt idx="21">
                  <c:v>-3.3143677843453243E-3</c:v>
                </c:pt>
                <c:pt idx="22">
                  <c:v>-1.6183561491991381E-2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0-47D9-AA67-BF5E91EE2B5C}"/>
            </c:ext>
          </c:extLst>
        </c:ser>
        <c:ser>
          <c:idx val="1"/>
          <c:order val="1"/>
          <c:tx>
            <c:strRef>
              <c:f>Question4!$BX$2:$BX$3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Question4!$BX$4:$BX$26</c:f>
              <c:numCache>
                <c:formatCode>0.00%</c:formatCode>
                <c:ptCount val="23"/>
                <c:pt idx="0">
                  <c:v>3.7180249851281118E-3</c:v>
                </c:pt>
                <c:pt idx="1">
                  <c:v>6.5194843680542814E-3</c:v>
                </c:pt>
                <c:pt idx="2">
                  <c:v>4.7107316355072494E-3</c:v>
                </c:pt>
                <c:pt idx="3">
                  <c:v>3.663003663003663E-3</c:v>
                </c:pt>
                <c:pt idx="4">
                  <c:v>7.5912408759125577E-3</c:v>
                </c:pt>
                <c:pt idx="5">
                  <c:v>7.2442770211530822E-3</c:v>
                </c:pt>
                <c:pt idx="6">
                  <c:v>6.1852704257768535E-3</c:v>
                </c:pt>
                <c:pt idx="7">
                  <c:v>1.1722659042173086E-2</c:v>
                </c:pt>
                <c:pt idx="8">
                  <c:v>-2.8260562385205921E-4</c:v>
                </c:pt>
                <c:pt idx="9">
                  <c:v>-1.9787985865724464E-3</c:v>
                </c:pt>
                <c:pt idx="10">
                  <c:v>-2.5492139923524548E-3</c:v>
                </c:pt>
                <c:pt idx="11">
                  <c:v>7.0992474797667421E-4</c:v>
                </c:pt>
                <c:pt idx="12">
                  <c:v>3.6889897843362567E-3</c:v>
                </c:pt>
                <c:pt idx="13">
                  <c:v>4.5236075770425949E-3</c:v>
                </c:pt>
                <c:pt idx="14">
                  <c:v>1.2665353222629243E-3</c:v>
                </c:pt>
                <c:pt idx="15">
                  <c:v>3.0920590302176338E-3</c:v>
                </c:pt>
                <c:pt idx="16">
                  <c:v>2.2418383074122297E-3</c:v>
                </c:pt>
                <c:pt idx="17">
                  <c:v>2.7960296379140031E-3</c:v>
                </c:pt>
                <c:pt idx="18">
                  <c:v>4.1823504809704645E-3</c:v>
                </c:pt>
                <c:pt idx="19">
                  <c:v>4.0261002360128589E-3</c:v>
                </c:pt>
                <c:pt idx="20">
                  <c:v>6.3606194690264614E-3</c:v>
                </c:pt>
                <c:pt idx="21">
                  <c:v>5.3586150041220193E-3</c:v>
                </c:pt>
                <c:pt idx="22">
                  <c:v>4.3733770671041056E-3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0-47D9-AA67-BF5E91EE2B5C}"/>
            </c:ext>
          </c:extLst>
        </c:ser>
        <c:ser>
          <c:idx val="2"/>
          <c:order val="2"/>
          <c:tx>
            <c:strRef>
              <c:f>Question4!$BY$2:$BY$3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Question4!$BV$4:$BV$26</c:f>
              <c:strCache>
                <c:ptCount val="23"/>
                <c:pt idx="0">
                  <c:v>March'2018</c:v>
                </c:pt>
                <c:pt idx="1">
                  <c:v>April'2018</c:v>
                </c:pt>
                <c:pt idx="2">
                  <c:v>May'2018</c:v>
                </c:pt>
                <c:pt idx="3">
                  <c:v>June'2018</c:v>
                </c:pt>
                <c:pt idx="4">
                  <c:v>July'2018</c:v>
                </c:pt>
                <c:pt idx="5">
                  <c:v>August'2018</c:v>
                </c:pt>
                <c:pt idx="6">
                  <c:v>September'2018</c:v>
                </c:pt>
                <c:pt idx="7">
                  <c:v>October'2018</c:v>
                </c:pt>
                <c:pt idx="8">
                  <c:v>November'2018</c:v>
                </c:pt>
                <c:pt idx="9">
                  <c:v>December'2018</c:v>
                </c:pt>
                <c:pt idx="10">
                  <c:v>January'2019</c:v>
                </c:pt>
                <c:pt idx="11">
                  <c:v>February'2019</c:v>
                </c:pt>
                <c:pt idx="12">
                  <c:v>March'2019</c:v>
                </c:pt>
                <c:pt idx="13">
                  <c:v>May'2019</c:v>
                </c:pt>
                <c:pt idx="14">
                  <c:v>June'2019</c:v>
                </c:pt>
                <c:pt idx="15">
                  <c:v>July'2019</c:v>
                </c:pt>
                <c:pt idx="16">
                  <c:v>August'2019</c:v>
                </c:pt>
                <c:pt idx="17">
                  <c:v>September'2019</c:v>
                </c:pt>
                <c:pt idx="18">
                  <c:v>October'2019</c:v>
                </c:pt>
                <c:pt idx="19">
                  <c:v>November'2019</c:v>
                </c:pt>
                <c:pt idx="20">
                  <c:v>December'2019</c:v>
                </c:pt>
                <c:pt idx="21">
                  <c:v>January'2020</c:v>
                </c:pt>
                <c:pt idx="22">
                  <c:v>February'2020</c:v>
                </c:pt>
              </c:strCache>
            </c:strRef>
          </c:cat>
          <c:val>
            <c:numRef>
              <c:f>Question4!$BY$4:$BY$26</c:f>
              <c:numCache>
                <c:formatCode>0.00%</c:formatCode>
                <c:ptCount val="23"/>
                <c:pt idx="0">
                  <c:v>3.7369207772795215E-3</c:v>
                </c:pt>
                <c:pt idx="1">
                  <c:v>6.7014147431122646E-3</c:v>
                </c:pt>
                <c:pt idx="2">
                  <c:v>5.9171597633136943E-3</c:v>
                </c:pt>
                <c:pt idx="3">
                  <c:v>1.4705882352940341E-3</c:v>
                </c:pt>
                <c:pt idx="4">
                  <c:v>5.8737151248165302E-3</c:v>
                </c:pt>
                <c:pt idx="5">
                  <c:v>5.1094890510948072E-3</c:v>
                </c:pt>
                <c:pt idx="6">
                  <c:v>5.0835148874365807E-3</c:v>
                </c:pt>
                <c:pt idx="7">
                  <c:v>2.6734104046242692E-2</c:v>
                </c:pt>
                <c:pt idx="8">
                  <c:v>0</c:v>
                </c:pt>
                <c:pt idx="9">
                  <c:v>1.9704433497537026E-2</c:v>
                </c:pt>
                <c:pt idx="10">
                  <c:v>1.3802622498273887E-3</c:v>
                </c:pt>
                <c:pt idx="11">
                  <c:v>3.4458993797381117E-3</c:v>
                </c:pt>
                <c:pt idx="12">
                  <c:v>4.120879120879082E-3</c:v>
                </c:pt>
                <c:pt idx="13">
                  <c:v>4.7879616963065466E-3</c:v>
                </c:pt>
                <c:pt idx="14">
                  <c:v>3.4036759700476512E-3</c:v>
                </c:pt>
                <c:pt idx="15">
                  <c:v>3.3921302578018993E-3</c:v>
                </c:pt>
                <c:pt idx="16">
                  <c:v>4.0567951318458036E-3</c:v>
                </c:pt>
                <c:pt idx="17">
                  <c:v>3.3670033670033669E-3</c:v>
                </c:pt>
                <c:pt idx="18">
                  <c:v>2.6845637583892998E-3</c:v>
                </c:pt>
                <c:pt idx="19">
                  <c:v>3.3467202141900937E-3</c:v>
                </c:pt>
                <c:pt idx="20">
                  <c:v>3.3355570380253501E-3</c:v>
                </c:pt>
                <c:pt idx="21">
                  <c:v>5.319148936170099E-3</c:v>
                </c:pt>
                <c:pt idx="22">
                  <c:v>3.3068783068783071E-3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20-47D9-AA67-BF5E91EE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228240"/>
        <c:axId val="939111696"/>
      </c:lineChart>
      <c:catAx>
        <c:axId val="16182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11696"/>
        <c:crosses val="autoZero"/>
        <c:auto val="1"/>
        <c:lblAlgn val="ctr"/>
        <c:lblOffset val="100"/>
        <c:noMultiLvlLbl val="0"/>
      </c:catAx>
      <c:valAx>
        <c:axId val="9391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2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Rural+Urban inflation post covid(Apr'2020 to Mar'2022)</a:t>
            </a:r>
            <a:endParaRPr lang="en-IN" b="1"/>
          </a:p>
        </c:rich>
      </c:tx>
      <c:layout>
        <c:manualLayout>
          <c:xMode val="edge"/>
          <c:yMode val="edge"/>
          <c:x val="0.19072373666899234"/>
          <c:y val="7.67165324127349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163670166229222"/>
          <c:y val="0.20412037037037037"/>
          <c:w val="0.85836329833770775"/>
          <c:h val="0.6714577865266842"/>
        </c:manualLayout>
      </c:layout>
      <c:lineChart>
        <c:grouping val="standard"/>
        <c:varyColors val="0"/>
        <c:ser>
          <c:idx val="0"/>
          <c:order val="0"/>
          <c:tx>
            <c:strRef>
              <c:f>Question4!$CG$2:$CG$3</c:f>
              <c:strCache>
                <c:ptCount val="2"/>
                <c:pt idx="0">
                  <c:v>Food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Question4!$CG$4:$CG$26</c15:sqref>
                  </c15:fullRef>
                </c:ext>
              </c:extLst>
              <c:f>(Question4!$CG$4:$CG$5,Question4!$CG$7:$CG$26)</c:f>
              <c:numCache>
                <c:formatCode>0.00%</c:formatCode>
                <c:ptCount val="22"/>
                <c:pt idx="0">
                  <c:v>2.2451320187540612E-2</c:v>
                </c:pt>
                <c:pt idx="1">
                  <c:v>2.3517473551412887E-3</c:v>
                </c:pt>
                <c:pt idx="2">
                  <c:v>1.4884535405494045E-2</c:v>
                </c:pt>
                <c:pt idx="3">
                  <c:v>5.4998382400519106E-3</c:v>
                </c:pt>
                <c:pt idx="4">
                  <c:v>2.1342771342771502E-2</c:v>
                </c:pt>
                <c:pt idx="5">
                  <c:v>2.3364485981308289E-2</c:v>
                </c:pt>
                <c:pt idx="6">
                  <c:v>5.5410189318147183E-3</c:v>
                </c:pt>
                <c:pt idx="7">
                  <c:v>-1.7960100005102498E-2</c:v>
                </c:pt>
                <c:pt idx="8">
                  <c:v>-2.1250064945186074E-2</c:v>
                </c:pt>
                <c:pt idx="9">
                  <c:v>-4.777577237499759E-4</c:v>
                </c:pt>
                <c:pt idx="10">
                  <c:v>1.2533857347708335E-2</c:v>
                </c:pt>
                <c:pt idx="11">
                  <c:v>2.0928402832415528E-2</c:v>
                </c:pt>
                <c:pt idx="12">
                  <c:v>1.4128647759966884E-2</c:v>
                </c:pt>
                <c:pt idx="13">
                  <c:v>6.1806575814380166E-3</c:v>
                </c:pt>
                <c:pt idx="14">
                  <c:v>-3.4237953778762167E-3</c:v>
                </c:pt>
                <c:pt idx="15">
                  <c:v>-1.7231370341274595E-16</c:v>
                </c:pt>
                <c:pt idx="16">
                  <c:v>1.6672561006416581E-2</c:v>
                </c:pt>
                <c:pt idx="17">
                  <c:v>8.9946827013862567E-3</c:v>
                </c:pt>
                <c:pt idx="18">
                  <c:v>-6.747438928289903E-3</c:v>
                </c:pt>
                <c:pt idx="19">
                  <c:v>-8.3304408191600468E-3</c:v>
                </c:pt>
                <c:pt idx="20">
                  <c:v>-1.7000850042500307E-3</c:v>
                </c:pt>
                <c:pt idx="21">
                  <c:v>1.1219634360130272E-2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7-44E9-9BC9-6383F2F090A9}"/>
            </c:ext>
          </c:extLst>
        </c:ser>
        <c:ser>
          <c:idx val="1"/>
          <c:order val="1"/>
          <c:tx>
            <c:strRef>
              <c:f>Question4!$CH$2:$CH$3</c:f>
              <c:strCache>
                <c:ptCount val="2"/>
                <c:pt idx="0">
                  <c:v>Essential services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Question4!$CH$4:$CH$26</c15:sqref>
                  </c15:fullRef>
                </c:ext>
              </c:extLst>
              <c:f>(Question4!$CH$4:$CH$5,Question4!$CH$7:$CH$26)</c:f>
              <c:numCache>
                <c:formatCode>0.00%</c:formatCode>
                <c:ptCount val="22"/>
                <c:pt idx="0">
                  <c:v>-1.6007674341007531E-2</c:v>
                </c:pt>
                <c:pt idx="1">
                  <c:v>-3.8741617992388696E-3</c:v>
                </c:pt>
                <c:pt idx="2">
                  <c:v>1.2935729847494592E-2</c:v>
                </c:pt>
                <c:pt idx="3">
                  <c:v>1.4786933727651489E-3</c:v>
                </c:pt>
                <c:pt idx="4">
                  <c:v>3.2214765100670455E-3</c:v>
                </c:pt>
                <c:pt idx="5">
                  <c:v>3.2111319240033329E-3</c:v>
                </c:pt>
                <c:pt idx="6">
                  <c:v>4.0010669511869454E-3</c:v>
                </c:pt>
                <c:pt idx="7">
                  <c:v>5.1806588735387963E-3</c:v>
                </c:pt>
                <c:pt idx="8">
                  <c:v>1.4536804546055352E-2</c:v>
                </c:pt>
                <c:pt idx="9">
                  <c:v>6.903738439494423E-3</c:v>
                </c:pt>
                <c:pt idx="10">
                  <c:v>3.4928848641657211E-3</c:v>
                </c:pt>
                <c:pt idx="11">
                  <c:v>1.3020497615057249E-2</c:v>
                </c:pt>
                <c:pt idx="12">
                  <c:v>2.1634003563247863E-3</c:v>
                </c:pt>
                <c:pt idx="13">
                  <c:v>8.6349206349205405E-3</c:v>
                </c:pt>
                <c:pt idx="14">
                  <c:v>7.176129925720854E-3</c:v>
                </c:pt>
                <c:pt idx="15">
                  <c:v>-1.2499999999988632E-4</c:v>
                </c:pt>
                <c:pt idx="16">
                  <c:v>7.375921990248468E-3</c:v>
                </c:pt>
                <c:pt idx="17">
                  <c:v>8.6870191114447274E-4</c:v>
                </c:pt>
                <c:pt idx="18">
                  <c:v>1.6119032858027953E-3</c:v>
                </c:pt>
                <c:pt idx="19">
                  <c:v>3.9613765783608956E-3</c:v>
                </c:pt>
                <c:pt idx="20">
                  <c:v>5.3020961775586545E-3</c:v>
                </c:pt>
                <c:pt idx="21">
                  <c:v>4.7835152704526008E-3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7-44E9-9BC9-6383F2F090A9}"/>
            </c:ext>
          </c:extLst>
        </c:ser>
        <c:ser>
          <c:idx val="2"/>
          <c:order val="2"/>
          <c:tx>
            <c:strRef>
              <c:f>Question4!$CI$2:$CI$3</c:f>
              <c:strCache>
                <c:ptCount val="2"/>
                <c:pt idx="0">
                  <c:v>Health</c:v>
                </c:pt>
                <c:pt idx="1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Question4!$CF$4:$CF$26</c15:sqref>
                  </c15:fullRef>
                </c:ext>
              </c:extLst>
              <c:f>(Question4!$CF$4:$CF$5,Question4!$CF$7:$CF$26)</c:f>
              <c:strCache>
                <c:ptCount val="22"/>
                <c:pt idx="0">
                  <c:v>May'2020</c:v>
                </c:pt>
                <c:pt idx="1">
                  <c:v>June'2020</c:v>
                </c:pt>
                <c:pt idx="2">
                  <c:v>August'2020</c:v>
                </c:pt>
                <c:pt idx="3">
                  <c:v>September'2020</c:v>
                </c:pt>
                <c:pt idx="4">
                  <c:v>October'2020</c:v>
                </c:pt>
                <c:pt idx="5">
                  <c:v>November'2020</c:v>
                </c:pt>
                <c:pt idx="6">
                  <c:v>December'2020</c:v>
                </c:pt>
                <c:pt idx="7">
                  <c:v>January'2021</c:v>
                </c:pt>
                <c:pt idx="8">
                  <c:v>February'2021</c:v>
                </c:pt>
                <c:pt idx="9">
                  <c:v>March'2021</c:v>
                </c:pt>
                <c:pt idx="10">
                  <c:v>April'2021</c:v>
                </c:pt>
                <c:pt idx="11">
                  <c:v>May'2021</c:v>
                </c:pt>
                <c:pt idx="12">
                  <c:v>June'2021</c:v>
                </c:pt>
                <c:pt idx="13">
                  <c:v>July'2021</c:v>
                </c:pt>
                <c:pt idx="14">
                  <c:v>August'2021</c:v>
                </c:pt>
                <c:pt idx="15">
                  <c:v>September'2021</c:v>
                </c:pt>
                <c:pt idx="16">
                  <c:v>October'2021</c:v>
                </c:pt>
                <c:pt idx="17">
                  <c:v>November'2021</c:v>
                </c:pt>
                <c:pt idx="18">
                  <c:v>December'2021</c:v>
                </c:pt>
                <c:pt idx="19">
                  <c:v>January'2022</c:v>
                </c:pt>
                <c:pt idx="20">
                  <c:v>February'2022</c:v>
                </c:pt>
                <c:pt idx="21">
                  <c:v>March'2022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Question4!$CI$4:$CI$26</c15:sqref>
                  </c15:fullRef>
                </c:ext>
              </c:extLst>
              <c:f>(Question4!$CI$4:$CI$5,Question4!$CI$7:$CI$26)</c:f>
              <c:numCache>
                <c:formatCode>0.00%</c:formatCode>
                <c:ptCount val="22"/>
                <c:pt idx="0">
                  <c:v>1.2276045122760603E-2</c:v>
                </c:pt>
                <c:pt idx="1">
                  <c:v>1.2127171419206779E-2</c:v>
                </c:pt>
                <c:pt idx="2">
                  <c:v>3.8860103626942636E-3</c:v>
                </c:pt>
                <c:pt idx="3">
                  <c:v>3.870967741935447E-3</c:v>
                </c:pt>
                <c:pt idx="4">
                  <c:v>4.4987146529564077E-3</c:v>
                </c:pt>
                <c:pt idx="5">
                  <c:v>5.7581573896351712E-3</c:v>
                </c:pt>
                <c:pt idx="6">
                  <c:v>6.9974554707380584E-3</c:v>
                </c:pt>
                <c:pt idx="7">
                  <c:v>6.3171193935565376E-3</c:v>
                </c:pt>
                <c:pt idx="8">
                  <c:v>1.2554927809165096E-2</c:v>
                </c:pt>
                <c:pt idx="9">
                  <c:v>2.4798512089273233E-3</c:v>
                </c:pt>
                <c:pt idx="10">
                  <c:v>3.7105751391467087E-3</c:v>
                </c:pt>
                <c:pt idx="11">
                  <c:v>2.1565003080714726E-2</c:v>
                </c:pt>
                <c:pt idx="12">
                  <c:v>3.0156815440289505E-3</c:v>
                </c:pt>
                <c:pt idx="13">
                  <c:v>4.2092603728201361E-3</c:v>
                </c:pt>
                <c:pt idx="14">
                  <c:v>8.3832335329341659E-3</c:v>
                </c:pt>
                <c:pt idx="15">
                  <c:v>0</c:v>
                </c:pt>
                <c:pt idx="16">
                  <c:v>4.1567695961994573E-3</c:v>
                </c:pt>
                <c:pt idx="17">
                  <c:v>4.730928444707341E-3</c:v>
                </c:pt>
                <c:pt idx="18">
                  <c:v>4.1200706297821578E-3</c:v>
                </c:pt>
                <c:pt idx="19">
                  <c:v>4.6893317702228097E-3</c:v>
                </c:pt>
                <c:pt idx="20">
                  <c:v>4.6674445740955833E-3</c:v>
                </c:pt>
                <c:pt idx="21">
                  <c:v>4.6457607433217848E-3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F7-44E9-9BC9-6383F2F09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157887"/>
        <c:axId val="1045483919"/>
      </c:lineChart>
      <c:catAx>
        <c:axId val="64615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83919"/>
        <c:crosses val="autoZero"/>
        <c:auto val="1"/>
        <c:lblAlgn val="ctr"/>
        <c:lblOffset val="100"/>
        <c:noMultiLvlLbl val="0"/>
      </c:catAx>
      <c:valAx>
        <c:axId val="1045483919"/>
        <c:scaling>
          <c:orientation val="minMax"/>
          <c:min val="-2.0000000000000004E-2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15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5762317684972911E-2"/>
          <c:y val="0.87697477113404554"/>
          <c:w val="0.29270926774975914"/>
          <c:h val="0.123025228865954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Question5!$AJ$5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Question5!$AI$6:$AI$31</c:f>
              <c:strCache>
                <c:ptCount val="26"/>
                <c:pt idx="0">
                  <c:v>Meat and fish</c:v>
                </c:pt>
                <c:pt idx="1">
                  <c:v>Oils and fats</c:v>
                </c:pt>
                <c:pt idx="2">
                  <c:v>Transport and communication</c:v>
                </c:pt>
                <c:pt idx="3">
                  <c:v>Recreation and amusement</c:v>
                </c:pt>
                <c:pt idx="4">
                  <c:v>Miscellaneous</c:v>
                </c:pt>
                <c:pt idx="5">
                  <c:v>Non-alcoholic beverages</c:v>
                </c:pt>
                <c:pt idx="6">
                  <c:v>Footwear</c:v>
                </c:pt>
                <c:pt idx="7">
                  <c:v>Clothing and footwear</c:v>
                </c:pt>
                <c:pt idx="8">
                  <c:v>Health</c:v>
                </c:pt>
                <c:pt idx="9">
                  <c:v>Clothing</c:v>
                </c:pt>
                <c:pt idx="10">
                  <c:v>Fuel and light</c:v>
                </c:pt>
                <c:pt idx="11">
                  <c:v>Personal care and effects</c:v>
                </c:pt>
                <c:pt idx="12">
                  <c:v>Household goods and services</c:v>
                </c:pt>
                <c:pt idx="13">
                  <c:v>Prepared meals, snacks, sweets etc.</c:v>
                </c:pt>
                <c:pt idx="14">
                  <c:v>Food and beverages</c:v>
                </c:pt>
                <c:pt idx="15">
                  <c:v>Housing</c:v>
                </c:pt>
                <c:pt idx="16">
                  <c:v>Pan, tobacco and intoxicants</c:v>
                </c:pt>
                <c:pt idx="17">
                  <c:v>Education</c:v>
                </c:pt>
                <c:pt idx="18">
                  <c:v>Milk and products</c:v>
                </c:pt>
                <c:pt idx="19">
                  <c:v>Fruits</c:v>
                </c:pt>
                <c:pt idx="20">
                  <c:v>Spices</c:v>
                </c:pt>
                <c:pt idx="21">
                  <c:v>Sugar and Confectionery</c:v>
                </c:pt>
                <c:pt idx="22">
                  <c:v>Cereals and products</c:v>
                </c:pt>
                <c:pt idx="23">
                  <c:v>Pulses and products</c:v>
                </c:pt>
                <c:pt idx="24">
                  <c:v>Vegetables</c:v>
                </c:pt>
                <c:pt idx="25">
                  <c:v>Egg</c:v>
                </c:pt>
              </c:strCache>
            </c:strRef>
          </c:cat>
          <c:val>
            <c:numRef>
              <c:f>Question5!$AJ$6:$AJ$31</c:f>
              <c:numCache>
                <c:formatCode>0%</c:formatCode>
                <c:ptCount val="26"/>
                <c:pt idx="0">
                  <c:v>0.84191192019168415</c:v>
                </c:pt>
                <c:pt idx="1">
                  <c:v>0.82620259475660895</c:v>
                </c:pt>
                <c:pt idx="2">
                  <c:v>0.81520166268737893</c:v>
                </c:pt>
                <c:pt idx="3">
                  <c:v>0.78563045522865071</c:v>
                </c:pt>
                <c:pt idx="4">
                  <c:v>0.76560004102965407</c:v>
                </c:pt>
                <c:pt idx="5">
                  <c:v>0.75260403886846317</c:v>
                </c:pt>
                <c:pt idx="6">
                  <c:v>0.74869562674882939</c:v>
                </c:pt>
                <c:pt idx="7">
                  <c:v>0.7393580301817575</c:v>
                </c:pt>
                <c:pt idx="8">
                  <c:v>0.73881995293995806</c:v>
                </c:pt>
                <c:pt idx="9">
                  <c:v>0.73718735666666269</c:v>
                </c:pt>
                <c:pt idx="10">
                  <c:v>0.73695384515053841</c:v>
                </c:pt>
                <c:pt idx="11">
                  <c:v>0.73372084561697026</c:v>
                </c:pt>
                <c:pt idx="12">
                  <c:v>0.73037374022525769</c:v>
                </c:pt>
                <c:pt idx="13">
                  <c:v>0.71816936627720163</c:v>
                </c:pt>
                <c:pt idx="14">
                  <c:v>0.71771593094288821</c:v>
                </c:pt>
                <c:pt idx="15">
                  <c:v>0.69787802521406628</c:v>
                </c:pt>
                <c:pt idx="16">
                  <c:v>0.68867161411370348</c:v>
                </c:pt>
                <c:pt idx="17">
                  <c:v>0.65313864265722477</c:v>
                </c:pt>
                <c:pt idx="18">
                  <c:v>0.63436438765675618</c:v>
                </c:pt>
                <c:pt idx="19">
                  <c:v>0.59139323105135344</c:v>
                </c:pt>
                <c:pt idx="20">
                  <c:v>0.59053727341757856</c:v>
                </c:pt>
                <c:pt idx="21">
                  <c:v>0.56709729181669644</c:v>
                </c:pt>
                <c:pt idx="22">
                  <c:v>0.50782673928104072</c:v>
                </c:pt>
                <c:pt idx="23">
                  <c:v>0.36427003644529937</c:v>
                </c:pt>
                <c:pt idx="24">
                  <c:v>0.35074653398470973</c:v>
                </c:pt>
                <c:pt idx="25">
                  <c:v>-0.2036224701816976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B-43EE-815E-48391559FE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28040096"/>
        <c:axId val="34968496"/>
      </c:barChart>
      <c:catAx>
        <c:axId val="16280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8496"/>
        <c:crosses val="autoZero"/>
        <c:auto val="1"/>
        <c:lblAlgn val="ctr"/>
        <c:lblOffset val="100"/>
        <c:noMultiLvlLbl val="0"/>
      </c:catAx>
      <c:valAx>
        <c:axId val="349684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6280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7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5" Type="http://schemas.openxmlformats.org/officeDocument/2006/relationships/image" Target="../media/image3.png"/><Relationship Id="rId10" Type="http://schemas.openxmlformats.org/officeDocument/2006/relationships/chart" Target="../charts/chart5.xml"/><Relationship Id="rId4" Type="http://schemas.openxmlformats.org/officeDocument/2006/relationships/chart" Target="../charts/chart2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76202</xdr:colOff>
      <xdr:row>2</xdr:row>
      <xdr:rowOff>68580</xdr:rowOff>
    </xdr:from>
    <xdr:to>
      <xdr:col>7</xdr:col>
      <xdr:colOff>516468</xdr:colOff>
      <xdr:row>22</xdr:row>
      <xdr:rowOff>186267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CD8E3-7F65-7534-DBCD-CCC614685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2" y="449580"/>
          <a:ext cx="4707466" cy="3843020"/>
        </a:xfrm>
        <a:prstGeom prst="rect">
          <a:avLst/>
        </a:prstGeom>
      </xdr:spPr>
    </xdr:pic>
    <xdr:clientData/>
  </xdr:twoCellAnchor>
  <xdr:twoCellAnchor>
    <xdr:from>
      <xdr:col>8</xdr:col>
      <xdr:colOff>8467</xdr:colOff>
      <xdr:row>2</xdr:row>
      <xdr:rowOff>42334</xdr:rowOff>
    </xdr:from>
    <xdr:to>
      <xdr:col>17</xdr:col>
      <xdr:colOff>575733</xdr:colOff>
      <xdr:row>19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64F9AB-AD0E-4A6E-A145-94564875D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93982</xdr:colOff>
      <xdr:row>2</xdr:row>
      <xdr:rowOff>121920</xdr:rowOff>
    </xdr:from>
    <xdr:to>
      <xdr:col>27</xdr:col>
      <xdr:colOff>589281</xdr:colOff>
      <xdr:row>24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2F397F-F786-98B9-6E02-DE982EDE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76382" y="502920"/>
          <a:ext cx="5372099" cy="4022513"/>
        </a:xfrm>
        <a:prstGeom prst="rect">
          <a:avLst/>
        </a:prstGeom>
      </xdr:spPr>
    </xdr:pic>
    <xdr:clientData/>
  </xdr:twoCellAnchor>
  <xdr:twoCellAnchor>
    <xdr:from>
      <xdr:col>28</xdr:col>
      <xdr:colOff>22860</xdr:colOff>
      <xdr:row>3</xdr:row>
      <xdr:rowOff>59266</xdr:rowOff>
    </xdr:from>
    <xdr:to>
      <xdr:col>37</xdr:col>
      <xdr:colOff>567267</xdr:colOff>
      <xdr:row>19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4E8781-D8A1-493E-A96C-DE3506F92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38</xdr:col>
      <xdr:colOff>350521</xdr:colOff>
      <xdr:row>2</xdr:row>
      <xdr:rowOff>68580</xdr:rowOff>
    </xdr:from>
    <xdr:to>
      <xdr:col>45</xdr:col>
      <xdr:colOff>548640</xdr:colOff>
      <xdr:row>21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D242C78-EDAC-9700-7C88-03E877FD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15321" y="449580"/>
          <a:ext cx="4465319" cy="3572087"/>
        </a:xfrm>
        <a:prstGeom prst="rect">
          <a:avLst/>
        </a:prstGeom>
      </xdr:spPr>
    </xdr:pic>
    <xdr:clientData/>
  </xdr:twoCellAnchor>
  <xdr:twoCellAnchor>
    <xdr:from>
      <xdr:col>46</xdr:col>
      <xdr:colOff>15240</xdr:colOff>
      <xdr:row>2</xdr:row>
      <xdr:rowOff>99060</xdr:rowOff>
    </xdr:from>
    <xdr:to>
      <xdr:col>52</xdr:col>
      <xdr:colOff>563880</xdr:colOff>
      <xdr:row>17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CE8CA6-0979-454B-BFAA-E49619B80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59</xdr:col>
      <xdr:colOff>355601</xdr:colOff>
      <xdr:row>2</xdr:row>
      <xdr:rowOff>101601</xdr:rowOff>
    </xdr:from>
    <xdr:to>
      <xdr:col>68</xdr:col>
      <xdr:colOff>160867</xdr:colOff>
      <xdr:row>21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1A90A7-4108-5E06-884F-0796251DD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22001" y="482601"/>
          <a:ext cx="5291666" cy="3513666"/>
        </a:xfrm>
        <a:prstGeom prst="rect">
          <a:avLst/>
        </a:prstGeom>
      </xdr:spPr>
    </xdr:pic>
    <xdr:clientData/>
  </xdr:twoCellAnchor>
  <xdr:twoCellAnchor>
    <xdr:from>
      <xdr:col>52</xdr:col>
      <xdr:colOff>601134</xdr:colOff>
      <xdr:row>2</xdr:row>
      <xdr:rowOff>143932</xdr:rowOff>
    </xdr:from>
    <xdr:to>
      <xdr:col>58</xdr:col>
      <xdr:colOff>601134</xdr:colOff>
      <xdr:row>17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50854DA-4556-4EA3-BBB1-2EC6FBFB8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87</xdr:col>
      <xdr:colOff>0</xdr:colOff>
      <xdr:row>1</xdr:row>
      <xdr:rowOff>194732</xdr:rowOff>
    </xdr:from>
    <xdr:to>
      <xdr:col>97</xdr:col>
      <xdr:colOff>130080</xdr:colOff>
      <xdr:row>21</xdr:row>
      <xdr:rowOff>152399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DF35CD5-3AF9-BD7F-F634-051A30F52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035200" y="380999"/>
          <a:ext cx="6226080" cy="3691467"/>
        </a:xfrm>
        <a:prstGeom prst="rect">
          <a:avLst/>
        </a:prstGeom>
      </xdr:spPr>
    </xdr:pic>
    <xdr:clientData/>
  </xdr:twoCellAnchor>
  <xdr:twoCellAnchor>
    <xdr:from>
      <xdr:col>98</xdr:col>
      <xdr:colOff>84668</xdr:colOff>
      <xdr:row>2</xdr:row>
      <xdr:rowOff>0</xdr:rowOff>
    </xdr:from>
    <xdr:to>
      <xdr:col>109</xdr:col>
      <xdr:colOff>584200</xdr:colOff>
      <xdr:row>22</xdr:row>
      <xdr:rowOff>186267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1BE79D3-2A6C-4066-A146-A411B76C0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69</xdr:col>
      <xdr:colOff>42333</xdr:colOff>
      <xdr:row>4</xdr:row>
      <xdr:rowOff>135467</xdr:rowOff>
    </xdr:from>
    <xdr:to>
      <xdr:col>77</xdr:col>
      <xdr:colOff>202353</xdr:colOff>
      <xdr:row>22</xdr:row>
      <xdr:rowOff>127847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888C2A-BE60-4E83-B405-038E35B63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77</xdr:col>
      <xdr:colOff>575733</xdr:colOff>
      <xdr:row>4</xdr:row>
      <xdr:rowOff>101601</xdr:rowOff>
    </xdr:from>
    <xdr:to>
      <xdr:col>85</xdr:col>
      <xdr:colOff>550333</xdr:colOff>
      <xdr:row>22</xdr:row>
      <xdr:rowOff>143935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6D95C72-0919-49E5-A136-ED9D3A242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77</xdr:col>
      <xdr:colOff>406400</xdr:colOff>
      <xdr:row>4</xdr:row>
      <xdr:rowOff>84666</xdr:rowOff>
    </xdr:from>
    <xdr:to>
      <xdr:col>77</xdr:col>
      <xdr:colOff>505460</xdr:colOff>
      <xdr:row>22</xdr:row>
      <xdr:rowOff>160866</xdr:rowOff>
    </xdr:to>
    <xdr:sp macro="" textlink="">
      <xdr:nvSpPr>
        <xdr:cNvPr id="22" name="Arrow: Up-Down 21">
          <a:extLst>
            <a:ext uri="{FF2B5EF4-FFF2-40B4-BE49-F238E27FC236}">
              <a16:creationId xmlns:a16="http://schemas.microsoft.com/office/drawing/2014/main" id="{D8913E18-7BF8-48BC-AA28-BDB9ACBF5ED0}"/>
            </a:ext>
          </a:extLst>
        </xdr:cNvPr>
        <xdr:cNvSpPr/>
      </xdr:nvSpPr>
      <xdr:spPr>
        <a:xfrm>
          <a:off x="47345600" y="838199"/>
          <a:ext cx="99060" cy="34290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71</xdr:col>
      <xdr:colOff>403013</xdr:colOff>
      <xdr:row>1</xdr:row>
      <xdr:rowOff>166794</xdr:rowOff>
    </xdr:from>
    <xdr:to>
      <xdr:col>74</xdr:col>
      <xdr:colOff>212513</xdr:colOff>
      <xdr:row>3</xdr:row>
      <xdr:rowOff>44874</xdr:rowOff>
    </xdr:to>
    <xdr:sp macro="" textlink="">
      <xdr:nvSpPr>
        <xdr:cNvPr id="25" name="Arrow: Left 24">
          <a:extLst>
            <a:ext uri="{FF2B5EF4-FFF2-40B4-BE49-F238E27FC236}">
              <a16:creationId xmlns:a16="http://schemas.microsoft.com/office/drawing/2014/main" id="{1D1C52C4-657F-4FE8-BDB6-021ED944026E}"/>
            </a:ext>
          </a:extLst>
        </xdr:cNvPr>
        <xdr:cNvSpPr/>
      </xdr:nvSpPr>
      <xdr:spPr>
        <a:xfrm>
          <a:off x="43684613" y="353061"/>
          <a:ext cx="1638300" cy="25908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81</xdr:col>
      <xdr:colOff>220133</xdr:colOff>
      <xdr:row>2</xdr:row>
      <xdr:rowOff>24552</xdr:rowOff>
    </xdr:from>
    <xdr:to>
      <xdr:col>84</xdr:col>
      <xdr:colOff>285327</xdr:colOff>
      <xdr:row>3</xdr:row>
      <xdr:rowOff>93132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7EE5B9D5-10BC-4126-931D-D1CEC6F667F6}"/>
            </a:ext>
          </a:extLst>
        </xdr:cNvPr>
        <xdr:cNvSpPr/>
      </xdr:nvSpPr>
      <xdr:spPr>
        <a:xfrm>
          <a:off x="49597733" y="405552"/>
          <a:ext cx="1893994" cy="25484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499533</xdr:colOff>
      <xdr:row>4</xdr:row>
      <xdr:rowOff>179071</xdr:rowOff>
    </xdr:from>
    <xdr:to>
      <xdr:col>38</xdr:col>
      <xdr:colOff>529166</xdr:colOff>
      <xdr:row>26</xdr:row>
      <xdr:rowOff>50801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58ECA4-BF72-733D-43D9-52DAB0A77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571499</xdr:colOff>
      <xdr:row>4</xdr:row>
      <xdr:rowOff>179070</xdr:rowOff>
    </xdr:from>
    <xdr:to>
      <xdr:col>26</xdr:col>
      <xdr:colOff>355600</xdr:colOff>
      <xdr:row>26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BA40E7-E79C-99C2-DBC5-F1DDC2F5A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584200</xdr:colOff>
      <xdr:row>26</xdr:row>
      <xdr:rowOff>42334</xdr:rowOff>
    </xdr:from>
    <xdr:to>
      <xdr:col>26</xdr:col>
      <xdr:colOff>355600</xdr:colOff>
      <xdr:row>46</xdr:row>
      <xdr:rowOff>59266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607D52-F573-DFB7-12EE-7454873E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18</xdr:col>
      <xdr:colOff>281940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E460B2-FAE9-42C1-B9FB-58B274965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17</xdr:row>
      <xdr:rowOff>41910</xdr:rowOff>
    </xdr:from>
    <xdr:to>
      <xdr:col>12</xdr:col>
      <xdr:colOff>15240</xdr:colOff>
      <xdr:row>32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A0CAB-9825-B593-CBED-3B6A3228B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152400</xdr:colOff>
      <xdr:row>1</xdr:row>
      <xdr:rowOff>30480</xdr:rowOff>
    </xdr:from>
    <xdr:to>
      <xdr:col>31</xdr:col>
      <xdr:colOff>457200</xdr:colOff>
      <xdr:row>16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D71D69-7F22-4940-9F2E-0B61AADF4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563880</xdr:colOff>
      <xdr:row>4</xdr:row>
      <xdr:rowOff>137160</xdr:rowOff>
    </xdr:from>
    <xdr:to>
      <xdr:col>96</xdr:col>
      <xdr:colOff>53340</xdr:colOff>
      <xdr:row>23</xdr:row>
      <xdr:rowOff>91440</xdr:rowOff>
    </xdr:to>
    <xdr:sp macro="" textlink="">
      <xdr:nvSpPr>
        <xdr:cNvPr id="10" name="Arrow: Up-Down 9">
          <a:extLst>
            <a:ext uri="{FF2B5EF4-FFF2-40B4-BE49-F238E27FC236}">
              <a16:creationId xmlns:a16="http://schemas.microsoft.com/office/drawing/2014/main" id="{02EC48A2-3FB2-2D7D-8353-24C0612BF016}"/>
            </a:ext>
          </a:extLst>
        </xdr:cNvPr>
        <xdr:cNvSpPr/>
      </xdr:nvSpPr>
      <xdr:spPr>
        <a:xfrm>
          <a:off x="59542680" y="868680"/>
          <a:ext cx="99060" cy="3429000"/>
        </a:xfrm>
        <a:prstGeom prst="up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87</xdr:col>
      <xdr:colOff>403860</xdr:colOff>
      <xdr:row>5</xdr:row>
      <xdr:rowOff>152400</xdr:rowOff>
    </xdr:from>
    <xdr:to>
      <xdr:col>95</xdr:col>
      <xdr:colOff>563880</xdr:colOff>
      <xdr:row>24</xdr:row>
      <xdr:rowOff>22860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6A6F57-1BC8-89A5-5266-1E155D823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90</xdr:col>
      <xdr:colOff>30480</xdr:colOff>
      <xdr:row>2</xdr:row>
      <xdr:rowOff>175260</xdr:rowOff>
    </xdr:from>
    <xdr:to>
      <xdr:col>92</xdr:col>
      <xdr:colOff>449580</xdr:colOff>
      <xdr:row>4</xdr:row>
      <xdr:rowOff>53340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3B151FDC-C3E3-D627-9B56-CC222ADD833E}"/>
            </a:ext>
          </a:extLst>
        </xdr:cNvPr>
        <xdr:cNvSpPr/>
      </xdr:nvSpPr>
      <xdr:spPr>
        <a:xfrm>
          <a:off x="55961280" y="541020"/>
          <a:ext cx="1638300" cy="2438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98</xdr:col>
      <xdr:colOff>121920</xdr:colOff>
      <xdr:row>2</xdr:row>
      <xdr:rowOff>160020</xdr:rowOff>
    </xdr:from>
    <xdr:to>
      <xdr:col>101</xdr:col>
      <xdr:colOff>327660</xdr:colOff>
      <xdr:row>4</xdr:row>
      <xdr:rowOff>30480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80C9D09-B717-8A1E-F4BB-B97A204A65CE}"/>
            </a:ext>
          </a:extLst>
        </xdr:cNvPr>
        <xdr:cNvSpPr/>
      </xdr:nvSpPr>
      <xdr:spPr>
        <a:xfrm>
          <a:off x="61371480" y="525780"/>
          <a:ext cx="2034540" cy="23622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96</xdr:col>
      <xdr:colOff>152400</xdr:colOff>
      <xdr:row>5</xdr:row>
      <xdr:rowOff>125730</xdr:rowOff>
    </xdr:from>
    <xdr:to>
      <xdr:col>103</xdr:col>
      <xdr:colOff>259080</xdr:colOff>
      <xdr:row>23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F36EEF-F9FF-C428-A79E-1B012610C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0</xdr:colOff>
      <xdr:row>4</xdr:row>
      <xdr:rowOff>0</xdr:rowOff>
    </xdr:from>
    <xdr:to>
      <xdr:col>70</xdr:col>
      <xdr:colOff>480060</xdr:colOff>
      <xdr:row>32</xdr:row>
      <xdr:rowOff>15240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3BF2BA6-2AAA-4F52-B5C4-E2887E01E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7DE-9250-41D7-96A6-FED8C1FBF32A}">
  <dimension ref="I1:DF28"/>
  <sheetViews>
    <sheetView showGridLines="0" tabSelected="1" zoomScale="90" zoomScaleNormal="90" workbookViewId="0">
      <selection activeCell="CU24" sqref="CU24:DF27"/>
    </sheetView>
  </sheetViews>
  <sheetFormatPr defaultRowHeight="14.4" x14ac:dyDescent="0.3"/>
  <sheetData>
    <row r="1" spans="9:110" ht="14.4" customHeight="1" thickBot="1" x14ac:dyDescent="0.35">
      <c r="AU1" s="39"/>
      <c r="AV1" s="40"/>
      <c r="AW1" s="40"/>
      <c r="AX1" s="52"/>
      <c r="AY1" s="40"/>
      <c r="AZ1" s="40"/>
      <c r="BA1" s="40"/>
      <c r="BB1" s="65" t="s">
        <v>146</v>
      </c>
      <c r="BC1" s="66"/>
      <c r="BD1" s="66"/>
      <c r="BE1" s="66"/>
      <c r="BF1" s="66"/>
      <c r="BG1" s="67"/>
      <c r="BR1" s="39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1"/>
      <c r="CU1" s="76" t="s">
        <v>160</v>
      </c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</row>
    <row r="2" spans="9:110" ht="15.6" customHeight="1" thickBot="1" x14ac:dyDescent="0.4">
      <c r="K2" s="45" t="s">
        <v>147</v>
      </c>
      <c r="L2" s="45"/>
      <c r="M2" s="45"/>
      <c r="N2" s="45"/>
      <c r="O2" s="45"/>
      <c r="P2" s="45"/>
      <c r="Q2" s="45"/>
      <c r="Z2" s="44" t="s">
        <v>148</v>
      </c>
      <c r="AA2" s="44"/>
      <c r="AB2" s="44"/>
      <c r="AC2" s="44"/>
      <c r="AD2" s="44"/>
      <c r="AU2" s="63" t="s">
        <v>145</v>
      </c>
      <c r="AV2" s="64"/>
      <c r="AW2" s="64"/>
      <c r="AX2" s="64"/>
      <c r="AY2" s="64"/>
      <c r="AZ2" s="64"/>
      <c r="BA2" s="64"/>
      <c r="BB2" s="68"/>
      <c r="BC2" s="69"/>
      <c r="BD2" s="69"/>
      <c r="BE2" s="69"/>
      <c r="BF2" s="69"/>
      <c r="BG2" s="70"/>
      <c r="BR2" s="42"/>
      <c r="BW2" s="76"/>
      <c r="BX2" s="76"/>
      <c r="BY2" s="76"/>
      <c r="BZ2" s="76"/>
      <c r="CA2" s="76"/>
      <c r="CB2" s="76"/>
      <c r="CC2" s="76"/>
      <c r="CH2" s="43"/>
    </row>
    <row r="3" spans="9:110" ht="14.4" customHeight="1" thickBot="1" x14ac:dyDescent="0.35">
      <c r="I3" s="39"/>
      <c r="J3" s="40"/>
      <c r="K3" s="40"/>
      <c r="L3" s="40"/>
      <c r="M3" s="40"/>
      <c r="N3" s="40"/>
      <c r="O3" s="40"/>
      <c r="P3" s="40"/>
      <c r="Q3" s="40"/>
      <c r="R3" s="41"/>
      <c r="AU3" s="42"/>
      <c r="BG3" s="43"/>
      <c r="BR3" s="42"/>
      <c r="BX3" s="50" t="s">
        <v>133</v>
      </c>
      <c r="BY3" s="50"/>
      <c r="CA3" s="49"/>
      <c r="CB3" s="49"/>
      <c r="CH3" s="43"/>
      <c r="CU3" s="39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1"/>
    </row>
    <row r="4" spans="9:110" ht="14.4" customHeight="1" x14ac:dyDescent="0.3">
      <c r="I4" s="42"/>
      <c r="R4" s="43"/>
      <c r="AC4" s="39"/>
      <c r="AD4" s="40"/>
      <c r="AE4" s="40"/>
      <c r="AF4" s="40"/>
      <c r="AG4" s="40"/>
      <c r="AH4" s="40"/>
      <c r="AI4" s="40"/>
      <c r="AJ4" s="40"/>
      <c r="AK4" s="40"/>
      <c r="AL4" s="41"/>
      <c r="AU4" s="42"/>
      <c r="BG4" s="43"/>
      <c r="BR4" s="42"/>
      <c r="CH4" s="43"/>
      <c r="CU4" s="42"/>
      <c r="DF4" s="43"/>
    </row>
    <row r="5" spans="9:110" x14ac:dyDescent="0.3">
      <c r="I5" s="42"/>
      <c r="R5" s="43"/>
      <c r="AC5" s="42"/>
      <c r="AL5" s="43"/>
      <c r="AU5" s="42"/>
      <c r="BG5" s="43"/>
      <c r="BR5" s="42"/>
      <c r="CH5" s="43"/>
      <c r="CU5" s="42"/>
      <c r="DF5" s="43"/>
    </row>
    <row r="6" spans="9:110" x14ac:dyDescent="0.3">
      <c r="I6" s="42"/>
      <c r="R6" s="43"/>
      <c r="AC6" s="42"/>
      <c r="AL6" s="43"/>
      <c r="AU6" s="42"/>
      <c r="BG6" s="43"/>
      <c r="BR6" s="42"/>
      <c r="CH6" s="43"/>
      <c r="CU6" s="42"/>
      <c r="DF6" s="43"/>
    </row>
    <row r="7" spans="9:110" x14ac:dyDescent="0.3">
      <c r="I7" s="42"/>
      <c r="R7" s="43"/>
      <c r="AC7" s="42"/>
      <c r="AL7" s="43"/>
      <c r="AU7" s="42"/>
      <c r="BG7" s="43"/>
      <c r="BR7" s="42"/>
      <c r="CH7" s="43"/>
      <c r="CU7" s="42"/>
      <c r="DF7" s="43"/>
    </row>
    <row r="8" spans="9:110" x14ac:dyDescent="0.3">
      <c r="I8" s="42"/>
      <c r="R8" s="43"/>
      <c r="AC8" s="42"/>
      <c r="AL8" s="43"/>
      <c r="AU8" s="42"/>
      <c r="BG8" s="43"/>
      <c r="BR8" s="42"/>
      <c r="CH8" s="43"/>
      <c r="CU8" s="42"/>
      <c r="DF8" s="43"/>
    </row>
    <row r="9" spans="9:110" x14ac:dyDescent="0.3">
      <c r="I9" s="42"/>
      <c r="R9" s="43"/>
      <c r="AC9" s="42"/>
      <c r="AL9" s="43"/>
      <c r="AU9" s="42"/>
      <c r="BG9" s="43"/>
      <c r="BR9" s="42"/>
      <c r="CH9" s="43"/>
      <c r="CU9" s="42"/>
      <c r="DF9" s="43"/>
    </row>
    <row r="10" spans="9:110" x14ac:dyDescent="0.3">
      <c r="I10" s="42"/>
      <c r="R10" s="43"/>
      <c r="AC10" s="42"/>
      <c r="AL10" s="43"/>
      <c r="AU10" s="42"/>
      <c r="BG10" s="43"/>
      <c r="BR10" s="42"/>
      <c r="CH10" s="43"/>
      <c r="CU10" s="42"/>
      <c r="DF10" s="43"/>
    </row>
    <row r="11" spans="9:110" x14ac:dyDescent="0.3">
      <c r="I11" s="42"/>
      <c r="R11" s="43"/>
      <c r="AC11" s="42"/>
      <c r="AL11" s="43"/>
      <c r="AU11" s="42"/>
      <c r="BG11" s="43"/>
      <c r="BR11" s="42"/>
      <c r="CH11" s="43"/>
      <c r="CU11" s="42"/>
      <c r="DF11" s="43"/>
    </row>
    <row r="12" spans="9:110" x14ac:dyDescent="0.3">
      <c r="I12" s="42"/>
      <c r="R12" s="43"/>
      <c r="AC12" s="42"/>
      <c r="AL12" s="43"/>
      <c r="AU12" s="42"/>
      <c r="BG12" s="43"/>
      <c r="BR12" s="42"/>
      <c r="CH12" s="43"/>
      <c r="CU12" s="42"/>
      <c r="DF12" s="43"/>
    </row>
    <row r="13" spans="9:110" x14ac:dyDescent="0.3">
      <c r="I13" s="42"/>
      <c r="R13" s="43"/>
      <c r="AC13" s="42"/>
      <c r="AL13" s="43"/>
      <c r="AU13" s="42"/>
      <c r="BG13" s="43"/>
      <c r="BR13" s="42"/>
      <c r="CH13" s="43"/>
      <c r="CU13" s="42"/>
      <c r="DF13" s="43"/>
    </row>
    <row r="14" spans="9:110" x14ac:dyDescent="0.3">
      <c r="I14" s="42"/>
      <c r="R14" s="43"/>
      <c r="AC14" s="42"/>
      <c r="AL14" s="43"/>
      <c r="AU14" s="42"/>
      <c r="BG14" s="43"/>
      <c r="BR14" s="42"/>
      <c r="CH14" s="43"/>
      <c r="CU14" s="42"/>
      <c r="DF14" s="43"/>
    </row>
    <row r="15" spans="9:110" x14ac:dyDescent="0.3">
      <c r="I15" s="42"/>
      <c r="R15" s="43"/>
      <c r="AC15" s="42"/>
      <c r="AL15" s="43"/>
      <c r="AU15" s="42"/>
      <c r="BG15" s="43"/>
      <c r="BR15" s="42"/>
      <c r="CH15" s="43"/>
      <c r="CU15" s="42"/>
      <c r="DF15" s="43"/>
    </row>
    <row r="16" spans="9:110" x14ac:dyDescent="0.3">
      <c r="I16" s="42"/>
      <c r="R16" s="43"/>
      <c r="AC16" s="42"/>
      <c r="AL16" s="43"/>
      <c r="AU16" s="42"/>
      <c r="BG16" s="43"/>
      <c r="BR16" s="42"/>
      <c r="CH16" s="43"/>
      <c r="CU16" s="42"/>
      <c r="DF16" s="43"/>
    </row>
    <row r="17" spans="9:110" x14ac:dyDescent="0.3">
      <c r="I17" s="42"/>
      <c r="R17" s="43"/>
      <c r="AC17" s="42"/>
      <c r="AL17" s="43"/>
      <c r="AU17" s="42"/>
      <c r="BG17" s="43"/>
      <c r="BR17" s="42"/>
      <c r="CH17" s="43"/>
      <c r="CU17" s="42"/>
      <c r="DF17" s="43"/>
    </row>
    <row r="18" spans="9:110" x14ac:dyDescent="0.3">
      <c r="I18" s="42"/>
      <c r="R18" s="43"/>
      <c r="AC18" s="42"/>
      <c r="AL18" s="43"/>
      <c r="AU18" s="42"/>
      <c r="BG18" s="43"/>
      <c r="BR18" s="42"/>
      <c r="CH18" s="43"/>
      <c r="CU18" s="42"/>
      <c r="DF18" s="43"/>
    </row>
    <row r="19" spans="9:110" x14ac:dyDescent="0.3">
      <c r="I19" s="42"/>
      <c r="R19" s="43"/>
      <c r="AC19" s="42"/>
      <c r="AL19" s="43"/>
      <c r="AU19" s="72" t="s">
        <v>153</v>
      </c>
      <c r="AV19" s="60"/>
      <c r="AW19" s="60"/>
      <c r="AX19" s="60"/>
      <c r="AY19" s="60"/>
      <c r="AZ19" s="60"/>
      <c r="BA19" s="73"/>
      <c r="BB19" s="59" t="s">
        <v>154</v>
      </c>
      <c r="BC19" s="60"/>
      <c r="BD19" s="60"/>
      <c r="BE19" s="60"/>
      <c r="BF19" s="60"/>
      <c r="BG19" s="61"/>
      <c r="BR19" s="42"/>
      <c r="CH19" s="43"/>
      <c r="CU19" s="42"/>
      <c r="DF19" s="43"/>
    </row>
    <row r="20" spans="9:110" x14ac:dyDescent="0.3">
      <c r="I20" s="53" t="s">
        <v>152</v>
      </c>
      <c r="J20" s="54"/>
      <c r="K20" s="54"/>
      <c r="L20" s="54"/>
      <c r="M20" s="54"/>
      <c r="N20" s="54"/>
      <c r="O20" s="54"/>
      <c r="P20" s="54"/>
      <c r="Q20" s="54"/>
      <c r="R20" s="55"/>
      <c r="AC20" s="42"/>
      <c r="AL20" s="43"/>
      <c r="AU20" s="53"/>
      <c r="AV20" s="54"/>
      <c r="AW20" s="54"/>
      <c r="AX20" s="54"/>
      <c r="AY20" s="54"/>
      <c r="AZ20" s="54"/>
      <c r="BA20" s="74"/>
      <c r="BB20" s="62"/>
      <c r="BC20" s="54"/>
      <c r="BD20" s="54"/>
      <c r="BE20" s="54"/>
      <c r="BF20" s="54"/>
      <c r="BG20" s="55"/>
      <c r="BR20" s="42"/>
      <c r="CH20" s="43"/>
      <c r="CU20" s="42"/>
      <c r="DF20" s="43"/>
    </row>
    <row r="21" spans="9:110" x14ac:dyDescent="0.3">
      <c r="I21" s="53"/>
      <c r="J21" s="54"/>
      <c r="K21" s="54"/>
      <c r="L21" s="54"/>
      <c r="M21" s="54"/>
      <c r="N21" s="54"/>
      <c r="O21" s="54"/>
      <c r="P21" s="54"/>
      <c r="Q21" s="54"/>
      <c r="R21" s="55"/>
      <c r="AC21" s="77" t="s">
        <v>157</v>
      </c>
      <c r="AD21" s="78"/>
      <c r="AE21" s="78"/>
      <c r="AF21" s="78"/>
      <c r="AG21" s="78"/>
      <c r="AH21" s="78"/>
      <c r="AI21" s="78"/>
      <c r="AJ21" s="78"/>
      <c r="AK21" s="78"/>
      <c r="AL21" s="79"/>
      <c r="AM21" s="46"/>
      <c r="AU21" s="53"/>
      <c r="AV21" s="54"/>
      <c r="AW21" s="54"/>
      <c r="AX21" s="54"/>
      <c r="AY21" s="54"/>
      <c r="AZ21" s="54"/>
      <c r="BA21" s="74"/>
      <c r="BB21" s="62"/>
      <c r="BC21" s="54"/>
      <c r="BD21" s="54"/>
      <c r="BE21" s="54"/>
      <c r="BF21" s="54"/>
      <c r="BG21" s="55"/>
      <c r="BR21" s="42"/>
      <c r="CH21" s="43"/>
      <c r="CU21" s="42"/>
      <c r="DF21" s="43"/>
    </row>
    <row r="22" spans="9:110" x14ac:dyDescent="0.3">
      <c r="I22" s="53"/>
      <c r="J22" s="54"/>
      <c r="K22" s="54"/>
      <c r="L22" s="54"/>
      <c r="M22" s="54"/>
      <c r="N22" s="54"/>
      <c r="O22" s="54"/>
      <c r="P22" s="54"/>
      <c r="Q22" s="54"/>
      <c r="R22" s="55"/>
      <c r="AC22" s="77"/>
      <c r="AD22" s="78"/>
      <c r="AE22" s="78"/>
      <c r="AF22" s="78"/>
      <c r="AG22" s="78"/>
      <c r="AH22" s="78"/>
      <c r="AI22" s="78"/>
      <c r="AJ22" s="78"/>
      <c r="AK22" s="78"/>
      <c r="AL22" s="79"/>
      <c r="AM22" s="46"/>
      <c r="AU22" s="53"/>
      <c r="AV22" s="54"/>
      <c r="AW22" s="54"/>
      <c r="AX22" s="54"/>
      <c r="AY22" s="54"/>
      <c r="AZ22" s="54"/>
      <c r="BA22" s="74"/>
      <c r="BB22" s="62"/>
      <c r="BC22" s="54"/>
      <c r="BD22" s="54"/>
      <c r="BE22" s="54"/>
      <c r="BF22" s="54"/>
      <c r="BG22" s="55"/>
      <c r="BR22" s="42"/>
      <c r="CH22" s="43"/>
      <c r="CU22" s="42"/>
      <c r="DF22" s="43"/>
    </row>
    <row r="23" spans="9:110" ht="15" thickBot="1" x14ac:dyDescent="0.35">
      <c r="I23" s="53"/>
      <c r="J23" s="54"/>
      <c r="K23" s="54"/>
      <c r="L23" s="54"/>
      <c r="M23" s="54"/>
      <c r="N23" s="54"/>
      <c r="O23" s="54"/>
      <c r="P23" s="54"/>
      <c r="Q23" s="54"/>
      <c r="R23" s="55"/>
      <c r="AC23" s="77"/>
      <c r="AD23" s="78"/>
      <c r="AE23" s="78"/>
      <c r="AF23" s="78"/>
      <c r="AG23" s="78"/>
      <c r="AH23" s="78"/>
      <c r="AI23" s="78"/>
      <c r="AJ23" s="78"/>
      <c r="AK23" s="78"/>
      <c r="AL23" s="79"/>
      <c r="AM23" s="46"/>
      <c r="AU23" s="56"/>
      <c r="AV23" s="57"/>
      <c r="AW23" s="57"/>
      <c r="AX23" s="57"/>
      <c r="AY23" s="57"/>
      <c r="AZ23" s="57"/>
      <c r="BA23" s="75"/>
      <c r="BB23" s="71"/>
      <c r="BC23" s="57"/>
      <c r="BD23" s="57"/>
      <c r="BE23" s="57"/>
      <c r="BF23" s="57"/>
      <c r="BG23" s="58"/>
      <c r="BR23" s="42"/>
      <c r="CH23" s="43"/>
      <c r="CU23" s="51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43"/>
    </row>
    <row r="24" spans="9:110" ht="14.4" customHeight="1" thickBot="1" x14ac:dyDescent="0.35">
      <c r="I24" s="56"/>
      <c r="J24" s="57"/>
      <c r="K24" s="57"/>
      <c r="L24" s="57"/>
      <c r="M24" s="57"/>
      <c r="N24" s="57"/>
      <c r="O24" s="57"/>
      <c r="P24" s="57"/>
      <c r="Q24" s="57"/>
      <c r="R24" s="58"/>
      <c r="AC24" s="80"/>
      <c r="AD24" s="81"/>
      <c r="AE24" s="81"/>
      <c r="AF24" s="81"/>
      <c r="AG24" s="81"/>
      <c r="AH24" s="81"/>
      <c r="AI24" s="81"/>
      <c r="AJ24" s="81"/>
      <c r="AK24" s="81"/>
      <c r="AL24" s="82"/>
      <c r="AM24" s="46"/>
      <c r="BR24" s="83" t="s">
        <v>155</v>
      </c>
      <c r="BS24" s="84"/>
      <c r="BT24" s="84"/>
      <c r="BU24" s="84"/>
      <c r="BV24" s="84"/>
      <c r="BW24" s="84"/>
      <c r="BX24" s="84"/>
      <c r="BY24" s="84"/>
      <c r="BZ24" s="84"/>
      <c r="CA24" s="84" t="s">
        <v>158</v>
      </c>
      <c r="CB24" s="84"/>
      <c r="CC24" s="84"/>
      <c r="CD24" s="84"/>
      <c r="CE24" s="84"/>
      <c r="CF24" s="84"/>
      <c r="CG24" s="84"/>
      <c r="CH24" s="87"/>
      <c r="CU24" s="53" t="s">
        <v>156</v>
      </c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5"/>
    </row>
    <row r="25" spans="9:110" ht="18" x14ac:dyDescent="0.3"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V25" s="48"/>
      <c r="BR25" s="85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8"/>
      <c r="CO25" s="47"/>
      <c r="CU25" s="53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5"/>
    </row>
    <row r="26" spans="9:110" ht="15" customHeight="1" x14ac:dyDescent="0.3">
      <c r="BR26" s="53" t="s">
        <v>159</v>
      </c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5"/>
      <c r="CU26" s="53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5"/>
    </row>
    <row r="27" spans="9:110" ht="15" thickBot="1" x14ac:dyDescent="0.35">
      <c r="BR27" s="56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8"/>
      <c r="CU27" s="56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8"/>
    </row>
    <row r="28" spans="9:110" x14ac:dyDescent="0.3">
      <c r="DB28" t="s">
        <v>132</v>
      </c>
    </row>
  </sheetData>
  <mergeCells count="14">
    <mergeCell ref="CU1:DF1"/>
    <mergeCell ref="CU24:DF27"/>
    <mergeCell ref="AC21:AL24"/>
    <mergeCell ref="BW2:CC2"/>
    <mergeCell ref="BR24:BZ25"/>
    <mergeCell ref="CA24:CH25"/>
    <mergeCell ref="BR26:CH27"/>
    <mergeCell ref="I20:R24"/>
    <mergeCell ref="BB19:BG21"/>
    <mergeCell ref="AU2:BA2"/>
    <mergeCell ref="BB1:BG2"/>
    <mergeCell ref="BB23:BG23"/>
    <mergeCell ref="BB22:BG22"/>
    <mergeCell ref="AU19:BA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1187B-6CDB-4850-84E9-0C517D50E00F}">
  <dimension ref="A1:AD35"/>
  <sheetViews>
    <sheetView topLeftCell="M1" zoomScale="90" zoomScaleNormal="90" workbookViewId="0">
      <selection activeCell="H8" sqref="H8"/>
    </sheetView>
  </sheetViews>
  <sheetFormatPr defaultRowHeight="14.4" x14ac:dyDescent="0.3"/>
  <cols>
    <col min="1" max="1" width="17.33203125" customWidth="1"/>
    <col min="2" max="4" width="10.44140625" bestFit="1" customWidth="1"/>
    <col min="7" max="7" width="20.44140625" customWidth="1"/>
    <col min="8" max="8" width="8.109375" bestFit="1" customWidth="1"/>
    <col min="9" max="9" width="8.21875" bestFit="1" customWidth="1"/>
    <col min="10" max="10" width="18.21875" bestFit="1" customWidth="1"/>
    <col min="11" max="12" width="8" bestFit="1" customWidth="1"/>
    <col min="13" max="13" width="14.109375" bestFit="1" customWidth="1"/>
  </cols>
  <sheetData>
    <row r="1" spans="1:3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</row>
    <row r="2" spans="1:30" x14ac:dyDescent="0.3">
      <c r="A2" s="3" t="s">
        <v>30</v>
      </c>
      <c r="B2" s="3">
        <v>2023</v>
      </c>
      <c r="C2" s="3" t="s">
        <v>38</v>
      </c>
      <c r="D2" s="3">
        <v>173.2</v>
      </c>
      <c r="E2" s="3">
        <v>211.5</v>
      </c>
      <c r="F2" s="3">
        <v>171</v>
      </c>
      <c r="G2" s="3">
        <v>179.6</v>
      </c>
      <c r="H2" s="3">
        <v>173.3</v>
      </c>
      <c r="I2" s="3">
        <v>169</v>
      </c>
      <c r="J2" s="3">
        <v>148.69999999999999</v>
      </c>
      <c r="K2" s="3">
        <v>174.9</v>
      </c>
      <c r="L2" s="3">
        <v>121.9</v>
      </c>
      <c r="M2" s="3">
        <v>221</v>
      </c>
      <c r="N2" s="3">
        <v>178.7</v>
      </c>
      <c r="O2" s="3">
        <v>191.1</v>
      </c>
      <c r="P2" s="3">
        <v>176.8</v>
      </c>
      <c r="Q2" s="3">
        <v>199.9</v>
      </c>
      <c r="R2" s="3">
        <v>191.2</v>
      </c>
      <c r="S2" s="3">
        <v>187.9</v>
      </c>
      <c r="T2" s="3">
        <v>190.8</v>
      </c>
      <c r="U2" s="3" t="s">
        <v>46</v>
      </c>
      <c r="V2" s="3">
        <v>182.5</v>
      </c>
      <c r="W2" s="3">
        <v>179.8</v>
      </c>
      <c r="X2" s="3">
        <v>187.8</v>
      </c>
      <c r="Y2" s="3">
        <v>169.7</v>
      </c>
      <c r="Z2" s="3">
        <v>173.8</v>
      </c>
      <c r="AA2" s="3">
        <v>180.3</v>
      </c>
      <c r="AB2" s="3">
        <v>184.9</v>
      </c>
      <c r="AC2" s="3">
        <v>179.5</v>
      </c>
      <c r="AD2" s="3">
        <v>179.8</v>
      </c>
    </row>
    <row r="3" spans="1:30" x14ac:dyDescent="0.3">
      <c r="A3" s="3" t="s">
        <v>33</v>
      </c>
      <c r="B3" s="3">
        <v>2023</v>
      </c>
      <c r="C3" s="3" t="s">
        <v>38</v>
      </c>
      <c r="D3" s="3">
        <v>174.7</v>
      </c>
      <c r="E3" s="3">
        <v>219.4</v>
      </c>
      <c r="F3" s="3">
        <v>176.7</v>
      </c>
      <c r="G3" s="3">
        <v>179.4</v>
      </c>
      <c r="H3" s="3">
        <v>164.4</v>
      </c>
      <c r="I3" s="3">
        <v>175.8</v>
      </c>
      <c r="J3" s="3">
        <v>185</v>
      </c>
      <c r="K3" s="3">
        <v>176.9</v>
      </c>
      <c r="L3" s="3">
        <v>124.2</v>
      </c>
      <c r="M3" s="3">
        <v>211.9</v>
      </c>
      <c r="N3" s="3">
        <v>165.9</v>
      </c>
      <c r="O3" s="3">
        <v>197.7</v>
      </c>
      <c r="P3" s="3">
        <v>183.1</v>
      </c>
      <c r="Q3" s="3">
        <v>204.2</v>
      </c>
      <c r="R3" s="3">
        <v>181.3</v>
      </c>
      <c r="S3" s="3">
        <v>168.1</v>
      </c>
      <c r="T3" s="3">
        <v>179.3</v>
      </c>
      <c r="U3" s="3">
        <v>175.6</v>
      </c>
      <c r="V3" s="3">
        <v>183.4</v>
      </c>
      <c r="W3" s="3">
        <v>170.1</v>
      </c>
      <c r="X3" s="3">
        <v>182.2</v>
      </c>
      <c r="Y3" s="3">
        <v>160.4</v>
      </c>
      <c r="Z3" s="3">
        <v>169.2</v>
      </c>
      <c r="AA3" s="3">
        <v>174.8</v>
      </c>
      <c r="AB3" s="3">
        <v>185.6</v>
      </c>
      <c r="AC3" s="3">
        <v>171.6</v>
      </c>
      <c r="AD3" s="3">
        <v>178.2</v>
      </c>
    </row>
    <row r="4" spans="1:30" x14ac:dyDescent="0.3">
      <c r="A4" s="3" t="s">
        <v>34</v>
      </c>
      <c r="B4" s="3">
        <v>2023</v>
      </c>
      <c r="C4" s="3" t="s">
        <v>38</v>
      </c>
      <c r="D4" s="3">
        <v>173.7</v>
      </c>
      <c r="E4" s="3">
        <v>214.3</v>
      </c>
      <c r="F4" s="3">
        <v>173.2</v>
      </c>
      <c r="G4" s="3">
        <v>179.5</v>
      </c>
      <c r="H4" s="3">
        <v>170</v>
      </c>
      <c r="I4" s="3">
        <v>172.2</v>
      </c>
      <c r="J4" s="3">
        <v>161</v>
      </c>
      <c r="K4" s="3">
        <v>175.6</v>
      </c>
      <c r="L4" s="3">
        <v>122.7</v>
      </c>
      <c r="M4" s="3">
        <v>218</v>
      </c>
      <c r="N4" s="3">
        <v>173.4</v>
      </c>
      <c r="O4" s="3">
        <v>194.2</v>
      </c>
      <c r="P4" s="3">
        <v>179.1</v>
      </c>
      <c r="Q4" s="3">
        <v>201</v>
      </c>
      <c r="R4" s="3">
        <v>187.3</v>
      </c>
      <c r="S4" s="3">
        <v>179.7</v>
      </c>
      <c r="T4" s="3">
        <v>186.2</v>
      </c>
      <c r="U4" s="3">
        <v>175.6</v>
      </c>
      <c r="V4" s="3">
        <v>182.8</v>
      </c>
      <c r="W4" s="3">
        <v>175.2</v>
      </c>
      <c r="X4" s="3">
        <v>185.7</v>
      </c>
      <c r="Y4" s="3">
        <v>164.8</v>
      </c>
      <c r="Z4" s="3">
        <v>171.2</v>
      </c>
      <c r="AA4" s="3">
        <v>177.1</v>
      </c>
      <c r="AB4" s="3">
        <v>185.2</v>
      </c>
      <c r="AC4" s="3">
        <v>175.7</v>
      </c>
      <c r="AD4" s="3">
        <v>179.1</v>
      </c>
    </row>
    <row r="6" spans="1:30" x14ac:dyDescent="0.3">
      <c r="A6" s="89">
        <v>45047</v>
      </c>
      <c r="B6" s="90"/>
      <c r="C6" s="90"/>
      <c r="D6" s="90"/>
      <c r="E6" s="90"/>
    </row>
    <row r="7" spans="1:30" x14ac:dyDescent="0.3">
      <c r="A7" s="2" t="s">
        <v>0</v>
      </c>
      <c r="B7" s="2" t="s">
        <v>30</v>
      </c>
      <c r="C7" s="2" t="s">
        <v>33</v>
      </c>
      <c r="D7" s="2" t="s">
        <v>34</v>
      </c>
      <c r="E7" s="2" t="s">
        <v>47</v>
      </c>
      <c r="G7" s="6" t="s">
        <v>47</v>
      </c>
      <c r="H7" s="6" t="s">
        <v>30</v>
      </c>
      <c r="I7" s="6" t="s">
        <v>33</v>
      </c>
      <c r="J7" s="6" t="s">
        <v>34</v>
      </c>
      <c r="K7" s="6" t="s">
        <v>30</v>
      </c>
      <c r="L7" s="6" t="s">
        <v>33</v>
      </c>
      <c r="M7" s="6" t="s">
        <v>34</v>
      </c>
    </row>
    <row r="8" spans="1:30" x14ac:dyDescent="0.3">
      <c r="A8" s="3" t="s">
        <v>3</v>
      </c>
      <c r="B8" s="3">
        <v>173.2</v>
      </c>
      <c r="C8" s="3">
        <v>174.7</v>
      </c>
      <c r="D8" s="3">
        <v>173.7</v>
      </c>
      <c r="E8" s="3" t="s">
        <v>48</v>
      </c>
      <c r="G8" s="7" t="s">
        <v>48</v>
      </c>
      <c r="H8" s="7">
        <f>SUMIFS($B$8:$B$34,$E$8:$E$34,$G8)</f>
        <v>2112.0000000000005</v>
      </c>
      <c r="I8" s="7">
        <f>SUMIFS($C$8:$C$34,$E$8:$E$34,$G8)</f>
        <v>2169.2000000000003</v>
      </c>
      <c r="J8" s="7">
        <f>SUMIFS($D$8:$D$34,$E$8:$E$34,$G8)</f>
        <v>2133.5</v>
      </c>
      <c r="K8" s="37">
        <f>H8/H$18</f>
        <v>0.46945852227260604</v>
      </c>
      <c r="L8" s="37">
        <f>I8/I$18</f>
        <v>0.46740933870585449</v>
      </c>
      <c r="M8" s="38">
        <f>J8/J$18</f>
        <v>0.45838346510828465</v>
      </c>
    </row>
    <row r="9" spans="1:30" x14ac:dyDescent="0.3">
      <c r="A9" s="3" t="s">
        <v>4</v>
      </c>
      <c r="B9" s="3">
        <v>211.5</v>
      </c>
      <c r="C9" s="3">
        <v>219.4</v>
      </c>
      <c r="D9" s="3">
        <v>214.3</v>
      </c>
      <c r="E9" s="3" t="s">
        <v>48</v>
      </c>
      <c r="G9" s="7" t="s">
        <v>49</v>
      </c>
      <c r="H9" s="7">
        <f>SUMIFS($B$8:$B$34,$E$8:$E$34,$G9)</f>
        <v>737.30000000000007</v>
      </c>
      <c r="I9" s="7">
        <f t="shared" ref="I9:I17" si="0">SUMIFS($C$8:$C$34,$E$8:$E$34,$G9)</f>
        <v>724.9</v>
      </c>
      <c r="J9" s="7">
        <f t="shared" ref="J9:J17" si="1">SUMIFS($D$8:$D$34,$E$8:$E$34,$G9)</f>
        <v>730.8</v>
      </c>
      <c r="K9" s="37">
        <f>H9/H$18</f>
        <v>0.16388814795056458</v>
      </c>
      <c r="L9" s="37">
        <f t="shared" ref="L9:L18" si="2">I9/I$18</f>
        <v>0.15619815122066838</v>
      </c>
      <c r="M9" s="38">
        <f t="shared" ref="M9:M18" si="3">J9/J$18</f>
        <v>0.15701271914747336</v>
      </c>
    </row>
    <row r="10" spans="1:30" x14ac:dyDescent="0.3">
      <c r="A10" s="3" t="s">
        <v>5</v>
      </c>
      <c r="B10" s="3">
        <v>171</v>
      </c>
      <c r="C10" s="3">
        <v>176.7</v>
      </c>
      <c r="D10" s="3">
        <v>173.2</v>
      </c>
      <c r="E10" s="3" t="s">
        <v>48</v>
      </c>
      <c r="G10" s="7" t="s">
        <v>17</v>
      </c>
      <c r="H10" s="7">
        <f t="shared" ref="H10:H17" si="4">SUMIFS($B$8:$B$34,$E$8:$E$34,$G10)</f>
        <v>569.90000000000009</v>
      </c>
      <c r="I10" s="7">
        <f t="shared" si="0"/>
        <v>528.70000000000005</v>
      </c>
      <c r="J10" s="7">
        <f t="shared" si="1"/>
        <v>553.20000000000005</v>
      </c>
      <c r="K10" s="37">
        <f>H10/H$18</f>
        <v>0.12667822530452563</v>
      </c>
      <c r="L10" s="37">
        <f t="shared" si="2"/>
        <v>0.11392186860307267</v>
      </c>
      <c r="M10" s="38">
        <f t="shared" si="3"/>
        <v>0.11885527672739775</v>
      </c>
    </row>
    <row r="11" spans="1:30" x14ac:dyDescent="0.3">
      <c r="A11" s="3" t="s">
        <v>6</v>
      </c>
      <c r="B11" s="3">
        <v>179.6</v>
      </c>
      <c r="C11" s="3">
        <v>179.4</v>
      </c>
      <c r="D11" s="3">
        <v>179.5</v>
      </c>
      <c r="E11" s="3" t="s">
        <v>48</v>
      </c>
      <c r="G11" s="7" t="s">
        <v>23</v>
      </c>
      <c r="H11" s="7">
        <f t="shared" si="4"/>
        <v>187.8</v>
      </c>
      <c r="I11" s="7">
        <f>SUMIFS($C$8:$C$34,$E$8:$E$34,$G11)</f>
        <v>182.2</v>
      </c>
      <c r="J11" s="7">
        <f t="shared" si="1"/>
        <v>185.7</v>
      </c>
      <c r="K11" s="37">
        <f t="shared" ref="K11:K18" si="5">H11/H$18</f>
        <v>4.174446519071752E-2</v>
      </c>
      <c r="L11" s="37">
        <f t="shared" si="2"/>
        <v>3.9259626365575638E-2</v>
      </c>
      <c r="M11" s="38">
        <f t="shared" si="3"/>
        <v>3.9897731179099345E-2</v>
      </c>
    </row>
    <row r="12" spans="1:30" x14ac:dyDescent="0.3">
      <c r="A12" s="3" t="s">
        <v>7</v>
      </c>
      <c r="B12" s="3">
        <v>173.3</v>
      </c>
      <c r="C12" s="3">
        <v>164.4</v>
      </c>
      <c r="D12" s="3">
        <v>170</v>
      </c>
      <c r="E12" s="3" t="s">
        <v>48</v>
      </c>
      <c r="G12" s="7" t="s">
        <v>21</v>
      </c>
      <c r="H12" s="7">
        <f t="shared" si="4"/>
        <v>182.5</v>
      </c>
      <c r="I12" s="7">
        <f t="shared" si="0"/>
        <v>183.4</v>
      </c>
      <c r="J12" s="7">
        <f t="shared" si="1"/>
        <v>182.8</v>
      </c>
      <c r="K12" s="37">
        <f t="shared" si="5"/>
        <v>4.0566373255090236E-2</v>
      </c>
      <c r="L12" s="37">
        <f t="shared" si="2"/>
        <v>3.9518196901463076E-2</v>
      </c>
      <c r="M12" s="38">
        <f t="shared" si="3"/>
        <v>3.9274664833276046E-2</v>
      </c>
    </row>
    <row r="13" spans="1:30" x14ac:dyDescent="0.3">
      <c r="A13" s="3" t="s">
        <v>8</v>
      </c>
      <c r="B13" s="3">
        <v>169</v>
      </c>
      <c r="C13" s="3">
        <v>175.8</v>
      </c>
      <c r="D13" s="3">
        <v>172.2</v>
      </c>
      <c r="E13" s="3" t="s">
        <v>48</v>
      </c>
      <c r="G13" s="7" t="s">
        <v>26</v>
      </c>
      <c r="H13" s="7">
        <f t="shared" si="4"/>
        <v>180.3</v>
      </c>
      <c r="I13" s="7">
        <f t="shared" si="0"/>
        <v>174.8</v>
      </c>
      <c r="J13" s="7">
        <f t="shared" si="1"/>
        <v>177.1</v>
      </c>
      <c r="K13" s="37">
        <f t="shared" si="5"/>
        <v>4.0077353961056272E-2</v>
      </c>
      <c r="L13" s="37">
        <f t="shared" si="2"/>
        <v>3.7665108060936453E-2</v>
      </c>
      <c r="M13" s="38">
        <f t="shared" si="3"/>
        <v>3.8050017188037126E-2</v>
      </c>
    </row>
    <row r="14" spans="1:30" x14ac:dyDescent="0.3">
      <c r="A14" s="3" t="s">
        <v>9</v>
      </c>
      <c r="B14" s="3">
        <v>148.69999999999999</v>
      </c>
      <c r="C14" s="3">
        <v>185</v>
      </c>
      <c r="D14" s="3">
        <v>161</v>
      </c>
      <c r="E14" s="3" t="s">
        <v>48</v>
      </c>
      <c r="G14" s="7" t="s">
        <v>20</v>
      </c>
      <c r="H14" s="7">
        <f t="shared" si="4"/>
        <v>179.8</v>
      </c>
      <c r="I14" s="7">
        <f t="shared" si="0"/>
        <v>345.7</v>
      </c>
      <c r="J14" s="7">
        <f t="shared" si="1"/>
        <v>350.79999999999995</v>
      </c>
      <c r="K14" s="37">
        <f t="shared" si="5"/>
        <v>3.9966213212412192E-2</v>
      </c>
      <c r="L14" s="37">
        <f t="shared" si="2"/>
        <v>7.4489861880238734E-2</v>
      </c>
      <c r="M14" s="38">
        <f t="shared" si="3"/>
        <v>7.5369542798212438E-2</v>
      </c>
    </row>
    <row r="15" spans="1:30" x14ac:dyDescent="0.3">
      <c r="A15" s="3" t="s">
        <v>10</v>
      </c>
      <c r="B15" s="3">
        <v>174.9</v>
      </c>
      <c r="C15" s="3">
        <v>176.9</v>
      </c>
      <c r="D15" s="3">
        <v>175.6</v>
      </c>
      <c r="E15" s="3" t="s">
        <v>48</v>
      </c>
      <c r="G15" s="7" t="s">
        <v>50</v>
      </c>
      <c r="H15" s="7">
        <f t="shared" si="4"/>
        <v>179.5</v>
      </c>
      <c r="I15" s="7">
        <f t="shared" si="0"/>
        <v>171.6</v>
      </c>
      <c r="J15" s="7">
        <f t="shared" si="1"/>
        <v>175.7</v>
      </c>
      <c r="K15" s="37">
        <f t="shared" si="5"/>
        <v>3.9899528763225736E-2</v>
      </c>
      <c r="L15" s="37">
        <f t="shared" si="2"/>
        <v>3.6975586631903291E-2</v>
      </c>
      <c r="M15" s="38">
        <f t="shared" si="3"/>
        <v>3.7749226538329322E-2</v>
      </c>
    </row>
    <row r="16" spans="1:30" x14ac:dyDescent="0.3">
      <c r="A16" s="3" t="s">
        <v>11</v>
      </c>
      <c r="B16" s="3">
        <v>121.9</v>
      </c>
      <c r="C16" s="3">
        <v>124.2</v>
      </c>
      <c r="D16" s="3">
        <v>122.7</v>
      </c>
      <c r="E16" s="3" t="s">
        <v>48</v>
      </c>
      <c r="G16" s="7" t="s">
        <v>24</v>
      </c>
      <c r="H16" s="7">
        <f t="shared" si="4"/>
        <v>169.7</v>
      </c>
      <c r="I16" s="7">
        <f t="shared" si="0"/>
        <v>160.4</v>
      </c>
      <c r="J16" s="7">
        <f t="shared" si="1"/>
        <v>164.8</v>
      </c>
      <c r="K16" s="37">
        <f t="shared" si="5"/>
        <v>3.7721170089801713E-2</v>
      </c>
      <c r="L16" s="37">
        <f t="shared" si="2"/>
        <v>3.4562261630287229E-2</v>
      </c>
      <c r="M16" s="38">
        <f t="shared" si="3"/>
        <v>3.5407356479890004E-2</v>
      </c>
    </row>
    <row r="17" spans="1:13" x14ac:dyDescent="0.3">
      <c r="A17" s="3" t="s">
        <v>12</v>
      </c>
      <c r="B17" s="3">
        <v>221</v>
      </c>
      <c r="C17" s="3">
        <v>211.9</v>
      </c>
      <c r="D17" s="3">
        <v>218</v>
      </c>
      <c r="E17" s="3" t="s">
        <v>48</v>
      </c>
      <c r="G17" s="34" t="s">
        <v>51</v>
      </c>
      <c r="H17" s="34">
        <f t="shared" si="4"/>
        <v>179.8</v>
      </c>
      <c r="I17" s="34">
        <f t="shared" si="0"/>
        <v>178.2</v>
      </c>
      <c r="J17" s="34">
        <f t="shared" si="1"/>
        <v>179.1</v>
      </c>
      <c r="K17" s="35" t="s">
        <v>46</v>
      </c>
      <c r="L17" s="35" t="s">
        <v>46</v>
      </c>
      <c r="M17" s="35" t="s">
        <v>46</v>
      </c>
    </row>
    <row r="18" spans="1:13" x14ac:dyDescent="0.3">
      <c r="A18" s="3" t="s">
        <v>13</v>
      </c>
      <c r="B18" s="3">
        <v>178.7</v>
      </c>
      <c r="C18" s="3">
        <v>165.9</v>
      </c>
      <c r="D18" s="3">
        <v>173.4</v>
      </c>
      <c r="E18" s="3" t="s">
        <v>49</v>
      </c>
      <c r="G18" s="6" t="s">
        <v>54</v>
      </c>
      <c r="H18" s="6">
        <f>SUM(H8:H16)</f>
        <v>4498.8000000000011</v>
      </c>
      <c r="I18" s="33">
        <f t="shared" ref="I18:J18" si="6">SUM(I8:I16)</f>
        <v>4640.9000000000005</v>
      </c>
      <c r="J18" s="6">
        <f t="shared" si="6"/>
        <v>4654.3999999999996</v>
      </c>
      <c r="K18" s="8">
        <f t="shared" si="5"/>
        <v>1</v>
      </c>
      <c r="L18" s="8">
        <f t="shared" si="2"/>
        <v>1</v>
      </c>
      <c r="M18" s="8">
        <f t="shared" si="3"/>
        <v>1</v>
      </c>
    </row>
    <row r="19" spans="1:13" x14ac:dyDescent="0.3">
      <c r="A19" s="3" t="s">
        <v>14</v>
      </c>
      <c r="B19" s="3">
        <v>191.1</v>
      </c>
      <c r="C19" s="3">
        <v>197.7</v>
      </c>
      <c r="D19" s="3">
        <v>194.2</v>
      </c>
      <c r="E19" s="3" t="s">
        <v>48</v>
      </c>
    </row>
    <row r="20" spans="1:13" x14ac:dyDescent="0.3">
      <c r="A20" s="3" t="s">
        <v>15</v>
      </c>
      <c r="B20" s="3">
        <v>176.8</v>
      </c>
      <c r="C20" s="3">
        <v>183.1</v>
      </c>
      <c r="D20" s="3">
        <v>179.1</v>
      </c>
      <c r="E20" s="3" t="s">
        <v>48</v>
      </c>
      <c r="G20" s="9"/>
      <c r="H20" s="16"/>
    </row>
    <row r="21" spans="1:13" x14ac:dyDescent="0.3">
      <c r="A21" s="3" t="s">
        <v>16</v>
      </c>
      <c r="B21" s="3">
        <v>199.9</v>
      </c>
      <c r="C21" s="3">
        <v>204.2</v>
      </c>
      <c r="D21" s="3">
        <v>201</v>
      </c>
      <c r="E21" s="3" t="s">
        <v>49</v>
      </c>
      <c r="G21" s="9"/>
    </row>
    <row r="22" spans="1:13" x14ac:dyDescent="0.3">
      <c r="A22" s="3" t="s">
        <v>17</v>
      </c>
      <c r="B22" s="3">
        <v>191.2</v>
      </c>
      <c r="C22" s="3">
        <v>181.3</v>
      </c>
      <c r="D22" s="3">
        <v>187.3</v>
      </c>
      <c r="E22" s="3" t="s">
        <v>17</v>
      </c>
      <c r="G22" s="9"/>
    </row>
    <row r="23" spans="1:13" x14ac:dyDescent="0.3">
      <c r="A23" s="3" t="s">
        <v>18</v>
      </c>
      <c r="B23" s="3">
        <v>187.9</v>
      </c>
      <c r="C23" s="3">
        <v>168.1</v>
      </c>
      <c r="D23" s="3">
        <v>179.7</v>
      </c>
      <c r="E23" s="3" t="s">
        <v>17</v>
      </c>
      <c r="G23" s="9"/>
    </row>
    <row r="24" spans="1:13" x14ac:dyDescent="0.3">
      <c r="A24" s="3" t="s">
        <v>19</v>
      </c>
      <c r="B24" s="3">
        <v>190.8</v>
      </c>
      <c r="C24" s="3">
        <v>179.3</v>
      </c>
      <c r="D24" s="3">
        <v>186.2</v>
      </c>
      <c r="E24" s="3" t="s">
        <v>17</v>
      </c>
      <c r="G24" s="9"/>
    </row>
    <row r="25" spans="1:13" x14ac:dyDescent="0.3">
      <c r="A25" s="3" t="s">
        <v>20</v>
      </c>
      <c r="B25" s="3" t="s">
        <v>46</v>
      </c>
      <c r="C25" s="3">
        <v>175.6</v>
      </c>
      <c r="D25" s="3">
        <v>175.6</v>
      </c>
      <c r="E25" s="3" t="s">
        <v>20</v>
      </c>
      <c r="G25" s="9"/>
    </row>
    <row r="26" spans="1:13" x14ac:dyDescent="0.3">
      <c r="A26" s="3" t="s">
        <v>21</v>
      </c>
      <c r="B26" s="3">
        <v>182.5</v>
      </c>
      <c r="C26" s="3">
        <v>183.4</v>
      </c>
      <c r="D26" s="3">
        <v>182.8</v>
      </c>
      <c r="E26" s="3" t="s">
        <v>21</v>
      </c>
    </row>
    <row r="27" spans="1:13" x14ac:dyDescent="0.3">
      <c r="A27" s="3" t="s">
        <v>22</v>
      </c>
      <c r="B27" s="3">
        <v>179.8</v>
      </c>
      <c r="C27" s="3">
        <v>170.1</v>
      </c>
      <c r="D27" s="3">
        <v>175.2</v>
      </c>
      <c r="E27" s="3" t="s">
        <v>20</v>
      </c>
    </row>
    <row r="28" spans="1:13" x14ac:dyDescent="0.3">
      <c r="A28" s="3" t="s">
        <v>23</v>
      </c>
      <c r="B28" s="3">
        <v>187.8</v>
      </c>
      <c r="C28" s="3">
        <v>182.2</v>
      </c>
      <c r="D28" s="3">
        <v>185.7</v>
      </c>
      <c r="E28" s="3" t="s">
        <v>23</v>
      </c>
    </row>
    <row r="29" spans="1:13" x14ac:dyDescent="0.3">
      <c r="A29" s="3" t="s">
        <v>24</v>
      </c>
      <c r="B29" s="3">
        <v>169.7</v>
      </c>
      <c r="C29" s="3">
        <v>160.4</v>
      </c>
      <c r="D29" s="3">
        <v>164.8</v>
      </c>
      <c r="E29" s="3" t="s">
        <v>24</v>
      </c>
    </row>
    <row r="30" spans="1:13" x14ac:dyDescent="0.3">
      <c r="A30" s="3" t="s">
        <v>25</v>
      </c>
      <c r="B30" s="3">
        <v>173.8</v>
      </c>
      <c r="C30" s="3">
        <v>169.2</v>
      </c>
      <c r="D30" s="3">
        <v>171.2</v>
      </c>
      <c r="E30" s="3" t="s">
        <v>49</v>
      </c>
    </row>
    <row r="31" spans="1:13" x14ac:dyDescent="0.3">
      <c r="A31" s="3" t="s">
        <v>26</v>
      </c>
      <c r="B31" s="3">
        <v>180.3</v>
      </c>
      <c r="C31" s="3">
        <v>174.8</v>
      </c>
      <c r="D31" s="3">
        <v>177.1</v>
      </c>
      <c r="E31" s="3" t="s">
        <v>26</v>
      </c>
    </row>
    <row r="32" spans="1:13" x14ac:dyDescent="0.3">
      <c r="A32" s="3" t="s">
        <v>27</v>
      </c>
      <c r="B32" s="3">
        <v>184.9</v>
      </c>
      <c r="C32" s="3">
        <v>185.6</v>
      </c>
      <c r="D32" s="3">
        <v>185.2</v>
      </c>
      <c r="E32" s="3" t="s">
        <v>49</v>
      </c>
    </row>
    <row r="33" spans="1:6" x14ac:dyDescent="0.3">
      <c r="A33" s="3" t="s">
        <v>28</v>
      </c>
      <c r="B33" s="3">
        <v>179.5</v>
      </c>
      <c r="C33" s="3">
        <v>171.6</v>
      </c>
      <c r="D33" s="3">
        <v>175.7</v>
      </c>
      <c r="E33" s="3" t="s">
        <v>50</v>
      </c>
    </row>
    <row r="34" spans="1:6" x14ac:dyDescent="0.3">
      <c r="A34" s="11" t="s">
        <v>29</v>
      </c>
      <c r="B34" s="11">
        <v>179.8</v>
      </c>
      <c r="C34" s="11">
        <v>178.2</v>
      </c>
      <c r="D34" s="11">
        <v>179.1</v>
      </c>
      <c r="E34" s="11" t="s">
        <v>51</v>
      </c>
      <c r="F34" t="s">
        <v>53</v>
      </c>
    </row>
    <row r="35" spans="1:6" x14ac:dyDescent="0.3">
      <c r="A35" s="10" t="s">
        <v>52</v>
      </c>
      <c r="B35" s="32">
        <f>SUM(B8:B33)</f>
        <v>4498.8000000000011</v>
      </c>
      <c r="C35" s="32">
        <f t="shared" ref="C35:D35" si="7">SUM(C8:C33)</f>
        <v>4640.9000000000005</v>
      </c>
      <c r="D35" s="32">
        <f t="shared" si="7"/>
        <v>4654.3999999999996</v>
      </c>
      <c r="E35" s="3"/>
    </row>
  </sheetData>
  <mergeCells count="1">
    <mergeCell ref="A6:E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3FE0-F286-4F4D-B522-09EA3D3B95AF}">
  <dimension ref="A1:CC77"/>
  <sheetViews>
    <sheetView workbookViewId="0">
      <selection activeCell="G14" sqref="G14:G20"/>
    </sheetView>
  </sheetViews>
  <sheetFormatPr defaultRowHeight="14.4" x14ac:dyDescent="0.3"/>
  <cols>
    <col min="3" max="3" width="12.21875" customWidth="1"/>
    <col min="12" max="12" width="19.109375" bestFit="1" customWidth="1"/>
    <col min="13" max="13" width="15.5546875" bestFit="1" customWidth="1"/>
    <col min="14" max="14" width="9.5546875" bestFit="1" customWidth="1"/>
    <col min="15" max="15" width="10.77734375" bestFit="1" customWidth="1"/>
  </cols>
  <sheetData>
    <row r="1" spans="1:81" x14ac:dyDescent="0.3">
      <c r="A1" s="1" t="s">
        <v>1</v>
      </c>
      <c r="B1" s="1" t="s">
        <v>2</v>
      </c>
      <c r="C1" s="1" t="s">
        <v>29</v>
      </c>
      <c r="D1" s="91" t="s">
        <v>34</v>
      </c>
      <c r="E1" s="91"/>
      <c r="F1" s="91"/>
      <c r="G1" s="91"/>
      <c r="J1" s="91" t="s">
        <v>34</v>
      </c>
      <c r="K1" s="91"/>
      <c r="CC1" s="7" t="s">
        <v>48</v>
      </c>
    </row>
    <row r="2" spans="1:81" x14ac:dyDescent="0.3">
      <c r="A2">
        <v>2017</v>
      </c>
      <c r="B2" t="s">
        <v>31</v>
      </c>
      <c r="C2">
        <v>130.30000000000001</v>
      </c>
      <c r="D2" s="10" t="s">
        <v>1</v>
      </c>
      <c r="E2" s="10" t="s">
        <v>31</v>
      </c>
      <c r="F2" s="10" t="s">
        <v>45</v>
      </c>
      <c r="G2" s="10" t="s">
        <v>55</v>
      </c>
      <c r="J2" s="10" t="s">
        <v>1</v>
      </c>
      <c r="K2" s="10" t="s">
        <v>55</v>
      </c>
      <c r="CC2" s="7" t="s">
        <v>49</v>
      </c>
    </row>
    <row r="3" spans="1:81" x14ac:dyDescent="0.3">
      <c r="A3">
        <v>2017</v>
      </c>
      <c r="B3" t="s">
        <v>35</v>
      </c>
      <c r="C3">
        <v>130.6</v>
      </c>
      <c r="D3" s="3">
        <v>2017</v>
      </c>
      <c r="E3" s="3" cm="1">
        <f t="array" ref="E3">_xlfn.XLOOKUP(1,($A$2:$A$77=$D3)*($B$2:$B$77="January"),$C$2:$C$77)</f>
        <v>130.30000000000001</v>
      </c>
      <c r="F3" s="3" cm="1">
        <f t="array" ref="F3">_xlfn.XLOOKUP(1,($A$2:$A$77=$D3)*($B$2:$B$77="December"),$C$2:$C$77)</f>
        <v>137.19999999999999</v>
      </c>
      <c r="G3" s="12">
        <f>(F3-E3)/E3</f>
        <v>5.295471987720627E-2</v>
      </c>
      <c r="J3" s="3">
        <v>2017</v>
      </c>
      <c r="K3" s="12">
        <v>5.295471987720627E-2</v>
      </c>
      <c r="CC3" s="7" t="s">
        <v>17</v>
      </c>
    </row>
    <row r="4" spans="1:81" x14ac:dyDescent="0.3">
      <c r="A4">
        <v>2017</v>
      </c>
      <c r="B4" t="s">
        <v>36</v>
      </c>
      <c r="C4">
        <v>130.9</v>
      </c>
      <c r="D4" s="3">
        <v>2018</v>
      </c>
      <c r="E4" s="3" cm="1">
        <f t="array" ref="E4">_xlfn.XLOOKUP(1,($A$2:$A$77=$D4)*($B$2:$B$77="January"),$C$2:$C$77)</f>
        <v>136.9</v>
      </c>
      <c r="F4" s="3" cm="1">
        <f t="array" ref="F4">_xlfn.XLOOKUP(1,($A$2:$A$77=$D4)*($B$2:$B$77="December"),$C$2:$C$77)</f>
        <v>140.1</v>
      </c>
      <c r="G4" s="12">
        <f t="shared" ref="G4:G8" si="0">(F4-E4)/E4</f>
        <v>2.3374726077428697E-2</v>
      </c>
      <c r="J4" s="3">
        <v>2018</v>
      </c>
      <c r="K4" s="12">
        <v>2.3374726077428697E-2</v>
      </c>
      <c r="CC4" s="7" t="s">
        <v>23</v>
      </c>
    </row>
    <row r="5" spans="1:81" x14ac:dyDescent="0.3">
      <c r="A5">
        <v>2017</v>
      </c>
      <c r="B5" t="s">
        <v>37</v>
      </c>
      <c r="C5">
        <v>131.1</v>
      </c>
      <c r="D5" s="3">
        <v>2019</v>
      </c>
      <c r="E5" s="3" cm="1">
        <f t="array" ref="E5">_xlfn.XLOOKUP(1,($A$2:$A$77=$D5)*($B$2:$B$77="January"),$C$2:$C$77)</f>
        <v>139.6</v>
      </c>
      <c r="F5" s="3" cm="1">
        <f t="array" ref="F5">_xlfn.XLOOKUP(1,($A$2:$A$77=$D5)*($B$2:$B$77="December"),$C$2:$C$77)</f>
        <v>150.4</v>
      </c>
      <c r="G5" s="12">
        <f t="shared" si="0"/>
        <v>7.7363896848137617E-2</v>
      </c>
      <c r="J5" s="3">
        <v>2019</v>
      </c>
      <c r="K5" s="12">
        <v>7.7363896848137617E-2</v>
      </c>
      <c r="CC5" s="7" t="s">
        <v>21</v>
      </c>
    </row>
    <row r="6" spans="1:81" x14ac:dyDescent="0.3">
      <c r="A6">
        <v>2017</v>
      </c>
      <c r="B6" t="s">
        <v>38</v>
      </c>
      <c r="C6">
        <v>131.4</v>
      </c>
      <c r="D6" s="3">
        <v>2020</v>
      </c>
      <c r="E6" s="3" cm="1">
        <f t="array" ref="E6">_xlfn.XLOOKUP(1,($A$2:$A$77=$D6)*($B$2:$B$77="January"),$C$2:$C$77)</f>
        <v>150.19999999999999</v>
      </c>
      <c r="F6" s="3" cm="1">
        <f t="array" ref="F6">_xlfn.XLOOKUP(1,($A$2:$A$77=$D6)*($B$2:$B$77="December"),$C$2:$C$77)</f>
        <v>158.9</v>
      </c>
      <c r="G6" s="12">
        <f t="shared" si="0"/>
        <v>5.7922769640479481E-2</v>
      </c>
      <c r="J6" s="3">
        <v>2020</v>
      </c>
      <c r="K6" s="12">
        <v>5.7922769640479481E-2</v>
      </c>
      <c r="CC6" s="7" t="s">
        <v>26</v>
      </c>
    </row>
    <row r="7" spans="1:81" x14ac:dyDescent="0.3">
      <c r="A7">
        <v>2017</v>
      </c>
      <c r="B7" t="s">
        <v>39</v>
      </c>
      <c r="C7">
        <v>132</v>
      </c>
      <c r="D7" s="3">
        <v>2021</v>
      </c>
      <c r="E7" s="3" cm="1">
        <f t="array" ref="E7">_xlfn.XLOOKUP(1,($A$2:$A$77=$D7)*($B$2:$B$77="January"),$C$2:$C$77)</f>
        <v>157.30000000000001</v>
      </c>
      <c r="F7" s="3" cm="1">
        <f t="array" ref="F7">_xlfn.XLOOKUP(1,($A$2:$A$77=$D7)*($B$2:$B$77="December"),$C$2:$C$77)</f>
        <v>166.2</v>
      </c>
      <c r="G7" s="12">
        <f t="shared" si="0"/>
        <v>5.657978385251098E-2</v>
      </c>
      <c r="I7" s="4"/>
      <c r="J7" s="3">
        <v>2021</v>
      </c>
      <c r="K7" s="12">
        <v>5.657978385251098E-2</v>
      </c>
      <c r="CC7" s="7" t="s">
        <v>20</v>
      </c>
    </row>
    <row r="8" spans="1:81" x14ac:dyDescent="0.3">
      <c r="A8">
        <v>2017</v>
      </c>
      <c r="B8" t="s">
        <v>40</v>
      </c>
      <c r="C8">
        <v>134.19999999999999</v>
      </c>
      <c r="D8" s="3">
        <v>2022</v>
      </c>
      <c r="E8" s="3" cm="1">
        <f t="array" ref="E8">_xlfn.XLOOKUP(1,($A$2:$A$77=$D8)*($B$2:$B$77="January"),$C$2:$C$77)</f>
        <v>165.7</v>
      </c>
      <c r="F8" s="3" cm="1">
        <f t="array" ref="F8">_xlfn.XLOOKUP(1,($A$2:$A$77=$D8)*($B$2:$B$77="December"),$C$2:$C$77)</f>
        <v>175.7</v>
      </c>
      <c r="G8" s="12">
        <f t="shared" si="0"/>
        <v>6.0350030175015092E-2</v>
      </c>
      <c r="J8" s="3">
        <v>2022</v>
      </c>
      <c r="K8" s="12">
        <v>6.0350030175015092E-2</v>
      </c>
      <c r="CC8" s="7" t="s">
        <v>50</v>
      </c>
    </row>
    <row r="9" spans="1:81" x14ac:dyDescent="0.3">
      <c r="A9">
        <v>2017</v>
      </c>
      <c r="B9" t="s">
        <v>41</v>
      </c>
      <c r="C9">
        <v>135.4</v>
      </c>
      <c r="D9" s="3">
        <v>2023</v>
      </c>
      <c r="E9" s="3" cm="1">
        <f t="array" ref="E9">_xlfn.XLOOKUP(1,($A$2:$A$77=$D9)*($B$2:$B$77="January"),$C$2:$C$77)</f>
        <v>176.5</v>
      </c>
      <c r="F9" s="3" t="s">
        <v>46</v>
      </c>
      <c r="G9" s="3"/>
      <c r="CC9" s="7" t="s">
        <v>24</v>
      </c>
    </row>
    <row r="10" spans="1:81" x14ac:dyDescent="0.3">
      <c r="A10">
        <v>2017</v>
      </c>
      <c r="B10" t="s">
        <v>42</v>
      </c>
      <c r="C10">
        <v>135.19999999999999</v>
      </c>
      <c r="CC10" s="7" t="s">
        <v>51</v>
      </c>
    </row>
    <row r="11" spans="1:81" x14ac:dyDescent="0.3">
      <c r="A11">
        <v>2017</v>
      </c>
      <c r="B11" t="s">
        <v>43</v>
      </c>
      <c r="C11">
        <v>136.1</v>
      </c>
    </row>
    <row r="12" spans="1:81" x14ac:dyDescent="0.3">
      <c r="A12">
        <v>2017</v>
      </c>
      <c r="B12" t="s">
        <v>44</v>
      </c>
      <c r="C12">
        <v>137.6</v>
      </c>
    </row>
    <row r="13" spans="1:81" x14ac:dyDescent="0.3">
      <c r="A13">
        <v>2017</v>
      </c>
      <c r="B13" t="s">
        <v>45</v>
      </c>
      <c r="C13">
        <v>137.19999999999999</v>
      </c>
    </row>
    <row r="14" spans="1:81" x14ac:dyDescent="0.3">
      <c r="A14">
        <v>2018</v>
      </c>
      <c r="B14" t="s">
        <v>31</v>
      </c>
      <c r="C14">
        <v>136.9</v>
      </c>
      <c r="F14" s="9"/>
      <c r="G14" s="16"/>
    </row>
    <row r="15" spans="1:81" x14ac:dyDescent="0.3">
      <c r="A15">
        <v>2018</v>
      </c>
      <c r="B15" t="s">
        <v>35</v>
      </c>
      <c r="C15">
        <v>136.4</v>
      </c>
      <c r="F15" s="9"/>
    </row>
    <row r="16" spans="1:81" x14ac:dyDescent="0.3">
      <c r="A16">
        <v>2018</v>
      </c>
      <c r="B16" t="s">
        <v>36</v>
      </c>
      <c r="C16">
        <v>136.5</v>
      </c>
      <c r="F16" s="9"/>
    </row>
    <row r="17" spans="1:6" x14ac:dyDescent="0.3">
      <c r="A17">
        <v>2018</v>
      </c>
      <c r="B17" t="s">
        <v>37</v>
      </c>
      <c r="C17">
        <v>137.1</v>
      </c>
      <c r="F17" s="9"/>
    </row>
    <row r="18" spans="1:6" x14ac:dyDescent="0.3">
      <c r="A18">
        <v>2018</v>
      </c>
      <c r="B18" t="s">
        <v>38</v>
      </c>
      <c r="C18">
        <v>137.80000000000001</v>
      </c>
      <c r="F18" s="9"/>
    </row>
    <row r="19" spans="1:6" x14ac:dyDescent="0.3">
      <c r="A19">
        <v>2018</v>
      </c>
      <c r="B19" t="s">
        <v>39</v>
      </c>
      <c r="C19">
        <v>138.5</v>
      </c>
      <c r="F19" s="9"/>
    </row>
    <row r="20" spans="1:6" x14ac:dyDescent="0.3">
      <c r="A20">
        <v>2018</v>
      </c>
      <c r="B20" t="s">
        <v>40</v>
      </c>
      <c r="C20">
        <v>139.80000000000001</v>
      </c>
    </row>
    <row r="21" spans="1:6" x14ac:dyDescent="0.3">
      <c r="A21">
        <v>2018</v>
      </c>
      <c r="B21" t="s">
        <v>41</v>
      </c>
      <c r="C21">
        <v>140.4</v>
      </c>
    </row>
    <row r="22" spans="1:6" x14ac:dyDescent="0.3">
      <c r="A22">
        <v>2018</v>
      </c>
      <c r="B22" t="s">
        <v>42</v>
      </c>
      <c r="C22">
        <v>140.19999999999999</v>
      </c>
    </row>
    <row r="23" spans="1:6" x14ac:dyDescent="0.3">
      <c r="A23">
        <v>2018</v>
      </c>
      <c r="B23" t="s">
        <v>43</v>
      </c>
      <c r="C23">
        <v>140.80000000000001</v>
      </c>
    </row>
    <row r="24" spans="1:6" x14ac:dyDescent="0.3">
      <c r="A24">
        <v>2018</v>
      </c>
      <c r="B24" t="s">
        <v>44</v>
      </c>
      <c r="C24">
        <v>140.80000000000001</v>
      </c>
    </row>
    <row r="25" spans="1:6" x14ac:dyDescent="0.3">
      <c r="A25">
        <v>2018</v>
      </c>
      <c r="B25" t="s">
        <v>45</v>
      </c>
      <c r="C25">
        <v>140.1</v>
      </c>
    </row>
    <row r="26" spans="1:6" x14ac:dyDescent="0.3">
      <c r="A26">
        <v>2019</v>
      </c>
      <c r="B26" t="s">
        <v>31</v>
      </c>
      <c r="C26">
        <v>139.6</v>
      </c>
    </row>
    <row r="27" spans="1:6" x14ac:dyDescent="0.3">
      <c r="A27">
        <v>2019</v>
      </c>
      <c r="B27" t="s">
        <v>35</v>
      </c>
      <c r="C27">
        <v>139.9</v>
      </c>
    </row>
    <row r="28" spans="1:6" x14ac:dyDescent="0.3">
      <c r="A28">
        <v>2019</v>
      </c>
      <c r="B28" t="s">
        <v>36</v>
      </c>
      <c r="C28">
        <v>140.4</v>
      </c>
    </row>
    <row r="29" spans="1:6" x14ac:dyDescent="0.3">
      <c r="A29">
        <v>2019</v>
      </c>
      <c r="B29" t="s">
        <v>38</v>
      </c>
      <c r="C29">
        <v>142</v>
      </c>
    </row>
    <row r="30" spans="1:6" x14ac:dyDescent="0.3">
      <c r="A30">
        <v>2019</v>
      </c>
      <c r="B30" t="s">
        <v>39</v>
      </c>
      <c r="C30">
        <v>142.9</v>
      </c>
    </row>
    <row r="31" spans="1:6" x14ac:dyDescent="0.3">
      <c r="A31">
        <v>2019</v>
      </c>
      <c r="B31" t="s">
        <v>40</v>
      </c>
      <c r="C31">
        <v>144.19999999999999</v>
      </c>
    </row>
    <row r="32" spans="1:6" x14ac:dyDescent="0.3">
      <c r="A32">
        <v>2019</v>
      </c>
      <c r="B32" t="s">
        <v>41</v>
      </c>
      <c r="C32">
        <v>145</v>
      </c>
    </row>
    <row r="33" spans="1:3" x14ac:dyDescent="0.3">
      <c r="A33">
        <v>2019</v>
      </c>
      <c r="B33" t="s">
        <v>42</v>
      </c>
      <c r="C33">
        <v>145.80000000000001</v>
      </c>
    </row>
    <row r="34" spans="1:3" x14ac:dyDescent="0.3">
      <c r="A34">
        <v>2019</v>
      </c>
      <c r="B34" t="s">
        <v>43</v>
      </c>
      <c r="C34">
        <v>147.19999999999999</v>
      </c>
    </row>
    <row r="35" spans="1:3" x14ac:dyDescent="0.3">
      <c r="A35">
        <v>2019</v>
      </c>
      <c r="B35" t="s">
        <v>44</v>
      </c>
      <c r="C35">
        <v>148.6</v>
      </c>
    </row>
    <row r="36" spans="1:3" x14ac:dyDescent="0.3">
      <c r="A36">
        <v>2019</v>
      </c>
      <c r="B36" t="s">
        <v>45</v>
      </c>
      <c r="C36">
        <v>150.4</v>
      </c>
    </row>
    <row r="37" spans="1:3" x14ac:dyDescent="0.3">
      <c r="A37">
        <v>2020</v>
      </c>
      <c r="B37" t="s">
        <v>31</v>
      </c>
      <c r="C37">
        <v>150.19999999999999</v>
      </c>
    </row>
    <row r="38" spans="1:3" x14ac:dyDescent="0.3">
      <c r="A38">
        <v>2020</v>
      </c>
      <c r="B38" t="s">
        <v>35</v>
      </c>
      <c r="C38">
        <v>149.1</v>
      </c>
    </row>
    <row r="39" spans="1:3" x14ac:dyDescent="0.3">
      <c r="A39">
        <v>2020</v>
      </c>
      <c r="B39" t="s">
        <v>36</v>
      </c>
      <c r="C39">
        <v>148.6</v>
      </c>
    </row>
    <row r="40" spans="1:3" x14ac:dyDescent="0.3">
      <c r="A40">
        <v>2020</v>
      </c>
      <c r="B40" t="s">
        <v>37</v>
      </c>
      <c r="C40" t="s">
        <v>32</v>
      </c>
    </row>
    <row r="41" spans="1:3" x14ac:dyDescent="0.3">
      <c r="A41">
        <v>2020</v>
      </c>
      <c r="B41" t="s">
        <v>38</v>
      </c>
      <c r="C41" t="s">
        <v>32</v>
      </c>
    </row>
    <row r="42" spans="1:3" x14ac:dyDescent="0.3">
      <c r="A42">
        <v>2020</v>
      </c>
      <c r="B42" t="s">
        <v>39</v>
      </c>
      <c r="C42">
        <v>151.80000000000001</v>
      </c>
    </row>
    <row r="43" spans="1:3" x14ac:dyDescent="0.3">
      <c r="A43">
        <v>2020</v>
      </c>
      <c r="B43" t="s">
        <v>40</v>
      </c>
      <c r="C43">
        <v>151.80000000000001</v>
      </c>
    </row>
    <row r="44" spans="1:3" x14ac:dyDescent="0.3">
      <c r="A44">
        <v>2020</v>
      </c>
      <c r="B44" t="s">
        <v>41</v>
      </c>
      <c r="C44">
        <v>153.9</v>
      </c>
    </row>
    <row r="45" spans="1:3" x14ac:dyDescent="0.3">
      <c r="A45">
        <v>2020</v>
      </c>
      <c r="B45" t="s">
        <v>42</v>
      </c>
      <c r="C45">
        <v>154.69999999999999</v>
      </c>
    </row>
    <row r="46" spans="1:3" x14ac:dyDescent="0.3">
      <c r="A46">
        <v>2020</v>
      </c>
      <c r="B46" t="s">
        <v>43</v>
      </c>
      <c r="C46">
        <v>156.4</v>
      </c>
    </row>
    <row r="47" spans="1:3" x14ac:dyDescent="0.3">
      <c r="A47">
        <v>2020</v>
      </c>
      <c r="B47" t="s">
        <v>44</v>
      </c>
      <c r="C47">
        <v>158.4</v>
      </c>
    </row>
    <row r="48" spans="1:3" x14ac:dyDescent="0.3">
      <c r="A48">
        <v>2020</v>
      </c>
      <c r="B48" t="s">
        <v>45</v>
      </c>
      <c r="C48">
        <v>158.9</v>
      </c>
    </row>
    <row r="49" spans="1:3" x14ac:dyDescent="0.3">
      <c r="A49">
        <v>2021</v>
      </c>
      <c r="B49" t="s">
        <v>31</v>
      </c>
      <c r="C49">
        <v>157.30000000000001</v>
      </c>
    </row>
    <row r="50" spans="1:3" x14ac:dyDescent="0.3">
      <c r="A50">
        <v>2021</v>
      </c>
      <c r="B50" t="s">
        <v>35</v>
      </c>
      <c r="C50">
        <v>156.6</v>
      </c>
    </row>
    <row r="51" spans="1:3" x14ac:dyDescent="0.3">
      <c r="A51">
        <v>2021</v>
      </c>
      <c r="B51" t="s">
        <v>36</v>
      </c>
      <c r="C51">
        <v>156.80000000000001</v>
      </c>
    </row>
    <row r="52" spans="1:3" x14ac:dyDescent="0.3">
      <c r="A52">
        <v>2021</v>
      </c>
      <c r="B52" t="s">
        <v>37</v>
      </c>
      <c r="C52">
        <v>157.80000000000001</v>
      </c>
    </row>
    <row r="53" spans="1:3" x14ac:dyDescent="0.3">
      <c r="A53">
        <v>2021</v>
      </c>
      <c r="B53" t="s">
        <v>38</v>
      </c>
      <c r="C53">
        <v>160.4</v>
      </c>
    </row>
    <row r="54" spans="1:3" x14ac:dyDescent="0.3">
      <c r="A54">
        <v>2021</v>
      </c>
      <c r="B54" t="s">
        <v>39</v>
      </c>
      <c r="C54">
        <v>161.30000000000001</v>
      </c>
    </row>
    <row r="55" spans="1:3" x14ac:dyDescent="0.3">
      <c r="A55">
        <v>2021</v>
      </c>
      <c r="B55" t="s">
        <v>40</v>
      </c>
      <c r="C55">
        <v>162.5</v>
      </c>
    </row>
    <row r="56" spans="1:3" x14ac:dyDescent="0.3">
      <c r="A56">
        <v>2021</v>
      </c>
      <c r="B56" t="s">
        <v>41</v>
      </c>
      <c r="C56">
        <v>163.19999999999999</v>
      </c>
    </row>
    <row r="57" spans="1:3" x14ac:dyDescent="0.3">
      <c r="A57">
        <v>2021</v>
      </c>
      <c r="B57" t="s">
        <v>42</v>
      </c>
      <c r="C57">
        <v>163.19999999999999</v>
      </c>
    </row>
    <row r="58" spans="1:3" x14ac:dyDescent="0.3">
      <c r="A58">
        <v>2021</v>
      </c>
      <c r="B58" t="s">
        <v>43</v>
      </c>
      <c r="C58">
        <v>165.5</v>
      </c>
    </row>
    <row r="59" spans="1:3" x14ac:dyDescent="0.3">
      <c r="A59">
        <v>2021</v>
      </c>
      <c r="B59" t="s">
        <v>44</v>
      </c>
      <c r="C59">
        <v>166.7</v>
      </c>
    </row>
    <row r="60" spans="1:3" x14ac:dyDescent="0.3">
      <c r="A60">
        <v>2021</v>
      </c>
      <c r="B60" t="s">
        <v>45</v>
      </c>
      <c r="C60">
        <v>166.2</v>
      </c>
    </row>
    <row r="61" spans="1:3" x14ac:dyDescent="0.3">
      <c r="A61">
        <v>2022</v>
      </c>
      <c r="B61" t="s">
        <v>31</v>
      </c>
      <c r="C61">
        <v>165.7</v>
      </c>
    </row>
    <row r="62" spans="1:3" x14ac:dyDescent="0.3">
      <c r="A62">
        <v>2022</v>
      </c>
      <c r="B62" t="s">
        <v>35</v>
      </c>
      <c r="C62">
        <v>166.1</v>
      </c>
    </row>
    <row r="63" spans="1:3" x14ac:dyDescent="0.3">
      <c r="A63">
        <v>2022</v>
      </c>
      <c r="B63" t="s">
        <v>36</v>
      </c>
      <c r="C63">
        <v>167.7</v>
      </c>
    </row>
    <row r="64" spans="1:3" x14ac:dyDescent="0.3">
      <c r="A64">
        <v>2022</v>
      </c>
      <c r="B64" t="s">
        <v>37</v>
      </c>
      <c r="C64">
        <v>170.1</v>
      </c>
    </row>
    <row r="65" spans="1:3" x14ac:dyDescent="0.3">
      <c r="A65">
        <v>2022</v>
      </c>
      <c r="B65" t="s">
        <v>38</v>
      </c>
      <c r="C65">
        <v>171.7</v>
      </c>
    </row>
    <row r="66" spans="1:3" x14ac:dyDescent="0.3">
      <c r="A66">
        <v>2022</v>
      </c>
      <c r="B66" t="s">
        <v>39</v>
      </c>
      <c r="C66">
        <v>172.6</v>
      </c>
    </row>
    <row r="67" spans="1:3" x14ac:dyDescent="0.3">
      <c r="A67">
        <v>2022</v>
      </c>
      <c r="B67" t="s">
        <v>40</v>
      </c>
      <c r="C67">
        <v>173.4</v>
      </c>
    </row>
    <row r="68" spans="1:3" x14ac:dyDescent="0.3">
      <c r="A68">
        <v>2022</v>
      </c>
      <c r="B68" t="s">
        <v>41</v>
      </c>
      <c r="C68">
        <v>174.3</v>
      </c>
    </row>
    <row r="69" spans="1:3" x14ac:dyDescent="0.3">
      <c r="A69">
        <v>2022</v>
      </c>
      <c r="B69" t="s">
        <v>42</v>
      </c>
      <c r="C69">
        <v>175.3</v>
      </c>
    </row>
    <row r="70" spans="1:3" x14ac:dyDescent="0.3">
      <c r="A70">
        <v>2022</v>
      </c>
      <c r="B70" t="s">
        <v>43</v>
      </c>
      <c r="C70">
        <v>176.7</v>
      </c>
    </row>
    <row r="71" spans="1:3" x14ac:dyDescent="0.3">
      <c r="A71">
        <v>2022</v>
      </c>
      <c r="B71" t="s">
        <v>44</v>
      </c>
      <c r="C71">
        <v>176.5</v>
      </c>
    </row>
    <row r="72" spans="1:3" x14ac:dyDescent="0.3">
      <c r="A72">
        <v>2022</v>
      </c>
      <c r="B72" t="s">
        <v>45</v>
      </c>
      <c r="C72">
        <v>175.7</v>
      </c>
    </row>
    <row r="73" spans="1:3" x14ac:dyDescent="0.3">
      <c r="A73">
        <v>2023</v>
      </c>
      <c r="B73" t="s">
        <v>31</v>
      </c>
      <c r="C73">
        <v>176.5</v>
      </c>
    </row>
    <row r="74" spans="1:3" x14ac:dyDescent="0.3">
      <c r="A74">
        <v>2023</v>
      </c>
      <c r="B74" t="s">
        <v>35</v>
      </c>
      <c r="C74">
        <v>177.2</v>
      </c>
    </row>
    <row r="75" spans="1:3" x14ac:dyDescent="0.3">
      <c r="A75">
        <v>2023</v>
      </c>
      <c r="B75" t="s">
        <v>36</v>
      </c>
      <c r="C75">
        <v>177.2</v>
      </c>
    </row>
    <row r="76" spans="1:3" x14ac:dyDescent="0.3">
      <c r="A76">
        <v>2023</v>
      </c>
      <c r="B76" t="s">
        <v>37</v>
      </c>
      <c r="C76">
        <v>178.1</v>
      </c>
    </row>
    <row r="77" spans="1:3" x14ac:dyDescent="0.3">
      <c r="A77">
        <v>2023</v>
      </c>
      <c r="B77" t="s">
        <v>38</v>
      </c>
      <c r="C77">
        <v>179.1</v>
      </c>
    </row>
  </sheetData>
  <mergeCells count="2">
    <mergeCell ref="J1:K1"/>
    <mergeCell ref="D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BC86-6172-4FCD-AA3E-89B78CD002EF}">
  <dimension ref="A1:X23"/>
  <sheetViews>
    <sheetView workbookViewId="0">
      <selection activeCell="O18" sqref="O18:O23"/>
    </sheetView>
  </sheetViews>
  <sheetFormatPr defaultRowHeight="14.4" x14ac:dyDescent="0.3"/>
  <cols>
    <col min="16" max="16" width="11.5546875" bestFit="1" customWidth="1"/>
    <col min="17" max="17" width="11.5546875" customWidth="1"/>
    <col min="19" max="19" width="13" customWidth="1"/>
    <col min="23" max="23" width="12.109375" customWidth="1"/>
  </cols>
  <sheetData>
    <row r="1" spans="1:2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14</v>
      </c>
      <c r="O1" s="10" t="s">
        <v>15</v>
      </c>
      <c r="P1" s="10" t="s">
        <v>60</v>
      </c>
      <c r="R1" s="90" t="s">
        <v>34</v>
      </c>
      <c r="S1" s="90"/>
      <c r="T1" s="90"/>
      <c r="U1" s="90"/>
    </row>
    <row r="2" spans="1:24" x14ac:dyDescent="0.3">
      <c r="A2" s="3" t="s">
        <v>34</v>
      </c>
      <c r="B2" s="3">
        <v>2022</v>
      </c>
      <c r="C2" s="3" t="s">
        <v>39</v>
      </c>
      <c r="D2" s="3">
        <v>155</v>
      </c>
      <c r="E2" s="3">
        <v>219.4</v>
      </c>
      <c r="F2" s="3">
        <v>170.8</v>
      </c>
      <c r="G2" s="3">
        <v>165.8</v>
      </c>
      <c r="H2" s="3">
        <v>200.9</v>
      </c>
      <c r="I2" s="3">
        <v>169.7</v>
      </c>
      <c r="J2" s="3">
        <v>182.3</v>
      </c>
      <c r="K2" s="3">
        <v>164.3</v>
      </c>
      <c r="L2" s="3">
        <v>119.9</v>
      </c>
      <c r="M2" s="3">
        <v>187.1</v>
      </c>
      <c r="N2" s="3">
        <v>183.9</v>
      </c>
      <c r="O2" s="3">
        <v>174.9</v>
      </c>
      <c r="P2" s="17">
        <f t="shared" ref="P2:P13" si="0">AVERAGE(D2:O2)</f>
        <v>174.5</v>
      </c>
      <c r="R2" s="10" t="s">
        <v>1</v>
      </c>
      <c r="S2" s="10" t="s">
        <v>2</v>
      </c>
      <c r="T2" s="10" t="s">
        <v>48</v>
      </c>
      <c r="U2" s="10" t="s">
        <v>58</v>
      </c>
      <c r="W2" s="10" t="s">
        <v>2</v>
      </c>
      <c r="X2" s="19" t="s">
        <v>58</v>
      </c>
    </row>
    <row r="3" spans="1:24" x14ac:dyDescent="0.3">
      <c r="A3" s="3" t="s">
        <v>34</v>
      </c>
      <c r="B3" s="3">
        <v>2022</v>
      </c>
      <c r="C3" s="3" t="s">
        <v>40</v>
      </c>
      <c r="D3" s="3">
        <v>156.5</v>
      </c>
      <c r="E3" s="3">
        <v>213</v>
      </c>
      <c r="F3" s="3">
        <v>175.2</v>
      </c>
      <c r="G3" s="3">
        <v>166.6</v>
      </c>
      <c r="H3" s="3">
        <v>195.8</v>
      </c>
      <c r="I3" s="3">
        <v>174.2</v>
      </c>
      <c r="J3" s="3">
        <v>182.1</v>
      </c>
      <c r="K3" s="3">
        <v>164.3</v>
      </c>
      <c r="L3" s="3">
        <v>120</v>
      </c>
      <c r="M3" s="3">
        <v>190</v>
      </c>
      <c r="N3" s="3">
        <v>185.2</v>
      </c>
      <c r="O3" s="3">
        <v>175</v>
      </c>
      <c r="P3" s="17">
        <f t="shared" si="0"/>
        <v>174.82500000000002</v>
      </c>
      <c r="Q3" s="26"/>
      <c r="R3" s="3">
        <v>2022</v>
      </c>
      <c r="S3" s="3" t="s">
        <v>39</v>
      </c>
      <c r="T3" s="17" cm="1">
        <f t="array" ref="T3">_xlfn.XLOOKUP(1,(Mmonth=$S3)*(year=$R3),$P$1:$P$13,0)</f>
        <v>174.5</v>
      </c>
      <c r="U3" s="3"/>
      <c r="W3" s="12" t="s">
        <v>134</v>
      </c>
      <c r="X3" s="18"/>
    </row>
    <row r="4" spans="1:24" x14ac:dyDescent="0.3">
      <c r="A4" s="3" t="s">
        <v>34</v>
      </c>
      <c r="B4" s="3">
        <v>2022</v>
      </c>
      <c r="C4" s="3" t="s">
        <v>41</v>
      </c>
      <c r="D4" s="3">
        <v>160.30000000000001</v>
      </c>
      <c r="E4" s="3">
        <v>206.5</v>
      </c>
      <c r="F4" s="3">
        <v>169.2</v>
      </c>
      <c r="G4" s="3">
        <v>168.1</v>
      </c>
      <c r="H4" s="3">
        <v>192.4</v>
      </c>
      <c r="I4" s="3">
        <v>172.9</v>
      </c>
      <c r="J4" s="3">
        <v>186.7</v>
      </c>
      <c r="K4" s="3">
        <v>167.2</v>
      </c>
      <c r="L4" s="3">
        <v>120.9</v>
      </c>
      <c r="M4" s="3">
        <v>193.6</v>
      </c>
      <c r="N4" s="3">
        <v>186.3</v>
      </c>
      <c r="O4" s="3">
        <v>176.3</v>
      </c>
      <c r="P4" s="17">
        <f t="shared" si="0"/>
        <v>175.03333333333333</v>
      </c>
      <c r="Q4" s="25"/>
      <c r="R4" s="3">
        <v>2022</v>
      </c>
      <c r="S4" s="3" t="s">
        <v>40</v>
      </c>
      <c r="T4" s="17" cm="1">
        <f t="array" ref="T4">_xlfn.XLOOKUP(1,(Mmonth=$S4)*(year=$R4),$P$1:$P$13,0)</f>
        <v>174.82500000000002</v>
      </c>
      <c r="U4" s="18">
        <f>(T4-T3)/T3</f>
        <v>1.8624641833811866E-3</v>
      </c>
      <c r="W4" s="12" t="s">
        <v>135</v>
      </c>
      <c r="X4" s="18">
        <v>1.8624641833811866E-3</v>
      </c>
    </row>
    <row r="5" spans="1:24" x14ac:dyDescent="0.3">
      <c r="A5" s="3" t="s">
        <v>34</v>
      </c>
      <c r="B5" s="3">
        <v>2022</v>
      </c>
      <c r="C5" s="3" t="s">
        <v>42</v>
      </c>
      <c r="D5" s="3">
        <v>163.5</v>
      </c>
      <c r="E5" s="3">
        <v>209.2</v>
      </c>
      <c r="F5" s="3">
        <v>169.7</v>
      </c>
      <c r="G5" s="3">
        <v>169.7</v>
      </c>
      <c r="H5" s="3">
        <v>188.7</v>
      </c>
      <c r="I5" s="3">
        <v>165.7</v>
      </c>
      <c r="J5" s="3">
        <v>191.8</v>
      </c>
      <c r="K5" s="3">
        <v>169.1</v>
      </c>
      <c r="L5" s="3">
        <v>121.6</v>
      </c>
      <c r="M5" s="3">
        <v>197.3</v>
      </c>
      <c r="N5" s="3">
        <v>187.4</v>
      </c>
      <c r="O5" s="3">
        <v>177.8</v>
      </c>
      <c r="P5" s="17">
        <f t="shared" si="0"/>
        <v>175.95833333333334</v>
      </c>
      <c r="R5" s="3">
        <v>2022</v>
      </c>
      <c r="S5" s="3" t="s">
        <v>41</v>
      </c>
      <c r="T5" s="17" cm="1">
        <f t="array" ref="T5">_xlfn.XLOOKUP(1,(Mmonth=$S5)*(year=$R5),$P$1:$P$13,0)</f>
        <v>175.03333333333333</v>
      </c>
      <c r="U5" s="18">
        <f t="shared" ref="U5:U14" si="1">(T5-T4)/T4</f>
        <v>1.1916678583344165E-3</v>
      </c>
      <c r="W5" s="12" t="s">
        <v>136</v>
      </c>
      <c r="X5" s="18">
        <v>1.1916678583344165E-3</v>
      </c>
    </row>
    <row r="6" spans="1:24" x14ac:dyDescent="0.3">
      <c r="A6" s="3" t="s">
        <v>34</v>
      </c>
      <c r="B6" s="3">
        <v>2022</v>
      </c>
      <c r="C6" s="3" t="s">
        <v>43</v>
      </c>
      <c r="D6" s="3">
        <v>165.2</v>
      </c>
      <c r="E6" s="3">
        <v>210.9</v>
      </c>
      <c r="F6" s="3">
        <v>170.9</v>
      </c>
      <c r="G6" s="3">
        <v>170.9</v>
      </c>
      <c r="H6" s="3">
        <v>186.5</v>
      </c>
      <c r="I6" s="3">
        <v>163.80000000000001</v>
      </c>
      <c r="J6" s="3">
        <v>199.7</v>
      </c>
      <c r="K6" s="3">
        <v>169.8</v>
      </c>
      <c r="L6" s="3">
        <v>121.9</v>
      </c>
      <c r="M6" s="3">
        <v>199.9</v>
      </c>
      <c r="N6" s="3">
        <v>188.3</v>
      </c>
      <c r="O6" s="3">
        <v>179.6</v>
      </c>
      <c r="P6" s="17">
        <f t="shared" si="0"/>
        <v>177.28333333333333</v>
      </c>
      <c r="Q6" s="15"/>
      <c r="R6" s="3">
        <v>2022</v>
      </c>
      <c r="S6" s="3" t="s">
        <v>42</v>
      </c>
      <c r="T6" s="17" cm="1">
        <f t="array" ref="T6">_xlfn.XLOOKUP(1,(Mmonth=$S6)*(year=$R6),$P$1:$P$13,0)</f>
        <v>175.95833333333334</v>
      </c>
      <c r="U6" s="18">
        <f t="shared" si="1"/>
        <v>5.2847076747286883E-3</v>
      </c>
      <c r="W6" s="12" t="s">
        <v>137</v>
      </c>
      <c r="X6" s="18">
        <v>5.2847076747286883E-3</v>
      </c>
    </row>
    <row r="7" spans="1:24" x14ac:dyDescent="0.3">
      <c r="A7" s="3" t="s">
        <v>34</v>
      </c>
      <c r="B7" s="3">
        <v>2022</v>
      </c>
      <c r="C7" s="3" t="s">
        <v>44</v>
      </c>
      <c r="D7" s="3">
        <v>167.4</v>
      </c>
      <c r="E7" s="3">
        <v>209.4</v>
      </c>
      <c r="F7" s="3">
        <v>181.4</v>
      </c>
      <c r="G7" s="3">
        <v>172.3</v>
      </c>
      <c r="H7" s="3">
        <v>188.9</v>
      </c>
      <c r="I7" s="3">
        <v>160.69999999999999</v>
      </c>
      <c r="J7" s="3">
        <v>183.1</v>
      </c>
      <c r="K7" s="3">
        <v>170.5</v>
      </c>
      <c r="L7" s="3">
        <v>122.1</v>
      </c>
      <c r="M7" s="3">
        <v>202.8</v>
      </c>
      <c r="N7" s="3">
        <v>189.5</v>
      </c>
      <c r="O7" s="3">
        <v>178.3</v>
      </c>
      <c r="P7" s="17">
        <f t="shared" si="0"/>
        <v>177.19999999999996</v>
      </c>
      <c r="R7" s="3">
        <v>2022</v>
      </c>
      <c r="S7" s="3" t="s">
        <v>43</v>
      </c>
      <c r="T7" s="17" cm="1">
        <f t="array" ref="T7">_xlfn.XLOOKUP(1,(Mmonth=$S7)*(year=$R7),$P$1:$P$13,0)</f>
        <v>177.28333333333333</v>
      </c>
      <c r="U7" s="18">
        <f t="shared" si="1"/>
        <v>7.5301918067723714E-3</v>
      </c>
      <c r="W7" s="12" t="s">
        <v>138</v>
      </c>
      <c r="X7" s="18">
        <v>7.5301918067723714E-3</v>
      </c>
    </row>
    <row r="8" spans="1:24" x14ac:dyDescent="0.3">
      <c r="A8" s="3" t="s">
        <v>34</v>
      </c>
      <c r="B8" s="3">
        <v>2022</v>
      </c>
      <c r="C8" s="3" t="s">
        <v>45</v>
      </c>
      <c r="D8" s="3">
        <v>169.2</v>
      </c>
      <c r="E8" s="3">
        <v>209</v>
      </c>
      <c r="F8" s="3">
        <v>190.2</v>
      </c>
      <c r="G8" s="3">
        <v>173.6</v>
      </c>
      <c r="H8" s="3">
        <v>188.5</v>
      </c>
      <c r="I8" s="3">
        <v>158</v>
      </c>
      <c r="J8" s="3">
        <v>159.9</v>
      </c>
      <c r="K8" s="3">
        <v>170.8</v>
      </c>
      <c r="L8" s="3">
        <v>121.8</v>
      </c>
      <c r="M8" s="3">
        <v>205.2</v>
      </c>
      <c r="N8" s="3">
        <v>190.3</v>
      </c>
      <c r="O8" s="3">
        <v>175.9</v>
      </c>
      <c r="P8" s="17">
        <f t="shared" si="0"/>
        <v>176.03333333333333</v>
      </c>
      <c r="R8" s="3">
        <v>2022</v>
      </c>
      <c r="S8" s="3" t="s">
        <v>44</v>
      </c>
      <c r="T8" s="17" cm="1">
        <f t="array" ref="T8">_xlfn.XLOOKUP(1,(Mmonth=$S8)*(year=$R8),$P$1:$P$13,0)</f>
        <v>177.19999999999996</v>
      </c>
      <c r="U8" s="18">
        <f t="shared" si="1"/>
        <v>-4.7005734699654729E-4</v>
      </c>
      <c r="W8" s="12" t="s">
        <v>139</v>
      </c>
      <c r="X8" s="18">
        <v>-4.7005734699654729E-4</v>
      </c>
    </row>
    <row r="9" spans="1:24" x14ac:dyDescent="0.3">
      <c r="A9" s="3" t="s">
        <v>34</v>
      </c>
      <c r="B9" s="3">
        <v>2023</v>
      </c>
      <c r="C9" s="3" t="s">
        <v>31</v>
      </c>
      <c r="D9" s="3">
        <v>173.8</v>
      </c>
      <c r="E9" s="3">
        <v>210.7</v>
      </c>
      <c r="F9" s="3">
        <v>194.5</v>
      </c>
      <c r="G9" s="3">
        <v>174.6</v>
      </c>
      <c r="H9" s="3">
        <v>187.2</v>
      </c>
      <c r="I9" s="3">
        <v>158.30000000000001</v>
      </c>
      <c r="J9" s="3">
        <v>153.9</v>
      </c>
      <c r="K9" s="3">
        <v>170.9</v>
      </c>
      <c r="L9" s="3">
        <v>121.1</v>
      </c>
      <c r="M9" s="3">
        <v>208.4</v>
      </c>
      <c r="N9" s="3">
        <v>191.2</v>
      </c>
      <c r="O9" s="3">
        <v>176.7</v>
      </c>
      <c r="P9" s="17">
        <f t="shared" si="0"/>
        <v>176.77500000000001</v>
      </c>
      <c r="R9" s="3">
        <v>2022</v>
      </c>
      <c r="S9" s="3" t="s">
        <v>45</v>
      </c>
      <c r="T9" s="17" cm="1">
        <f t="array" ref="T9">_xlfn.XLOOKUP(1,(Mmonth=$S9)*(year=$R9),$P$1:$P$13,0)</f>
        <v>176.03333333333333</v>
      </c>
      <c r="U9" s="18">
        <f t="shared" si="1"/>
        <v>-6.5838976674188997E-3</v>
      </c>
      <c r="W9" s="12" t="s">
        <v>140</v>
      </c>
      <c r="X9" s="18">
        <v>-6.5838976674188997E-3</v>
      </c>
    </row>
    <row r="10" spans="1:24" x14ac:dyDescent="0.3">
      <c r="A10" s="3" t="s">
        <v>34</v>
      </c>
      <c r="B10" s="3">
        <v>2023</v>
      </c>
      <c r="C10" s="3" t="s">
        <v>35</v>
      </c>
      <c r="D10" s="3">
        <v>174.4</v>
      </c>
      <c r="E10" s="3">
        <v>207.7</v>
      </c>
      <c r="F10" s="3">
        <v>175.2</v>
      </c>
      <c r="G10" s="3">
        <v>177.3</v>
      </c>
      <c r="H10" s="3">
        <v>179.3</v>
      </c>
      <c r="I10" s="3">
        <v>169.5</v>
      </c>
      <c r="J10" s="3">
        <v>152.69999999999999</v>
      </c>
      <c r="K10" s="3">
        <v>171</v>
      </c>
      <c r="L10" s="3">
        <v>120</v>
      </c>
      <c r="M10" s="3">
        <v>209.7</v>
      </c>
      <c r="N10" s="3">
        <v>193</v>
      </c>
      <c r="O10" s="3">
        <v>177</v>
      </c>
      <c r="P10" s="17">
        <f t="shared" si="0"/>
        <v>175.56666666666669</v>
      </c>
      <c r="R10" s="3">
        <v>2023</v>
      </c>
      <c r="S10" s="3" t="s">
        <v>31</v>
      </c>
      <c r="T10" s="17" cm="1">
        <f t="array" ref="T10">_xlfn.XLOOKUP(1,(Mmonth=$S10)*(year=$R10),$P$1:$P$13,0)</f>
        <v>176.77500000000001</v>
      </c>
      <c r="U10" s="18">
        <f t="shared" si="1"/>
        <v>4.2132171937133553E-3</v>
      </c>
      <c r="W10" s="12" t="s">
        <v>141</v>
      </c>
      <c r="X10" s="18">
        <v>4.2132171937133553E-3</v>
      </c>
    </row>
    <row r="11" spans="1:24" x14ac:dyDescent="0.3">
      <c r="A11" s="3" t="s">
        <v>34</v>
      </c>
      <c r="B11" s="3">
        <v>2023</v>
      </c>
      <c r="C11" s="3" t="s">
        <v>36</v>
      </c>
      <c r="D11" s="3">
        <v>174.4</v>
      </c>
      <c r="E11" s="3">
        <v>207.7</v>
      </c>
      <c r="F11" s="3">
        <v>175.2</v>
      </c>
      <c r="G11" s="3">
        <v>177.3</v>
      </c>
      <c r="H11" s="3">
        <v>179.2</v>
      </c>
      <c r="I11" s="3">
        <v>169.5</v>
      </c>
      <c r="J11" s="3">
        <v>152.80000000000001</v>
      </c>
      <c r="K11" s="3">
        <v>171.1</v>
      </c>
      <c r="L11" s="3">
        <v>120</v>
      </c>
      <c r="M11" s="3">
        <v>209.7</v>
      </c>
      <c r="N11" s="3">
        <v>193</v>
      </c>
      <c r="O11" s="3">
        <v>177</v>
      </c>
      <c r="P11" s="17">
        <f t="shared" si="0"/>
        <v>175.57499999999996</v>
      </c>
      <c r="R11" s="3">
        <v>2023</v>
      </c>
      <c r="S11" s="3" t="s">
        <v>35</v>
      </c>
      <c r="T11" s="17" cm="1">
        <f t="array" ref="T11">_xlfn.XLOOKUP(1,(Mmonth=$S11)*(year=$R11),$P$1:$P$13,0)</f>
        <v>175.56666666666669</v>
      </c>
      <c r="U11" s="18">
        <f t="shared" si="1"/>
        <v>-6.8354311035684588E-3</v>
      </c>
      <c r="W11" s="12" t="s">
        <v>142</v>
      </c>
      <c r="X11" s="20">
        <v>-6.8354311035684588E-3</v>
      </c>
    </row>
    <row r="12" spans="1:24" x14ac:dyDescent="0.3">
      <c r="A12" s="3" t="s">
        <v>34</v>
      </c>
      <c r="B12" s="3">
        <v>2023</v>
      </c>
      <c r="C12" s="3" t="s">
        <v>37</v>
      </c>
      <c r="D12" s="3">
        <v>173.8</v>
      </c>
      <c r="E12" s="3">
        <v>209.3</v>
      </c>
      <c r="F12" s="3">
        <v>169.6</v>
      </c>
      <c r="G12" s="3">
        <v>178.4</v>
      </c>
      <c r="H12" s="3">
        <v>174.9</v>
      </c>
      <c r="I12" s="3">
        <v>176.3</v>
      </c>
      <c r="J12" s="3">
        <v>155.4</v>
      </c>
      <c r="K12" s="3">
        <v>173.4</v>
      </c>
      <c r="L12" s="3">
        <v>121.3</v>
      </c>
      <c r="M12" s="3">
        <v>212.9</v>
      </c>
      <c r="N12" s="3">
        <v>193.5</v>
      </c>
      <c r="O12" s="3">
        <v>177.9</v>
      </c>
      <c r="P12" s="17">
        <f t="shared" si="0"/>
        <v>176.39166666666668</v>
      </c>
      <c r="R12" s="3">
        <v>2023</v>
      </c>
      <c r="S12" s="3" t="s">
        <v>36</v>
      </c>
      <c r="T12" s="17" cm="1">
        <f t="array" ref="T12">_xlfn.XLOOKUP(1,(Mmonth=$S12)*(year=$R12),$P$1:$P$13,0)</f>
        <v>175.57499999999996</v>
      </c>
      <c r="U12" s="18">
        <f t="shared" si="1"/>
        <v>4.7465350293918221E-5</v>
      </c>
      <c r="W12" s="12" t="s">
        <v>143</v>
      </c>
      <c r="X12" s="18">
        <v>4.7465350293918221E-5</v>
      </c>
    </row>
    <row r="13" spans="1:24" x14ac:dyDescent="0.3">
      <c r="A13" s="3" t="s">
        <v>34</v>
      </c>
      <c r="B13" s="3">
        <v>2023</v>
      </c>
      <c r="C13" s="3" t="s">
        <v>38</v>
      </c>
      <c r="D13" s="3">
        <v>173.7</v>
      </c>
      <c r="E13" s="3">
        <v>214.3</v>
      </c>
      <c r="F13" s="3">
        <v>173.2</v>
      </c>
      <c r="G13" s="3">
        <v>179.5</v>
      </c>
      <c r="H13" s="3">
        <v>170</v>
      </c>
      <c r="I13" s="3">
        <v>172.2</v>
      </c>
      <c r="J13" s="3">
        <v>161</v>
      </c>
      <c r="K13" s="3">
        <v>175.6</v>
      </c>
      <c r="L13" s="3">
        <v>122.7</v>
      </c>
      <c r="M13" s="3">
        <v>218</v>
      </c>
      <c r="N13" s="3">
        <v>194.2</v>
      </c>
      <c r="O13" s="3">
        <v>179.1</v>
      </c>
      <c r="P13" s="17">
        <f t="shared" si="0"/>
        <v>177.79166666666666</v>
      </c>
      <c r="R13" s="3">
        <v>2023</v>
      </c>
      <c r="S13" s="3" t="s">
        <v>37</v>
      </c>
      <c r="T13" s="17" cm="1">
        <f t="array" ref="T13">_xlfn.XLOOKUP(1,(Mmonth=$S13)*(year=$R13),$P$1:$P$13,0)</f>
        <v>176.39166666666668</v>
      </c>
      <c r="U13" s="18">
        <f t="shared" si="1"/>
        <v>4.6513835492907303E-3</v>
      </c>
      <c r="W13" s="12" t="s">
        <v>144</v>
      </c>
      <c r="X13" s="18">
        <v>4.6513835492907303E-3</v>
      </c>
    </row>
    <row r="14" spans="1:24" x14ac:dyDescent="0.3">
      <c r="R14" s="3">
        <v>2023</v>
      </c>
      <c r="S14" s="3" t="s">
        <v>38</v>
      </c>
      <c r="T14" s="17" cm="1">
        <f t="array" ref="T14">_xlfn.XLOOKUP(1,(Mmonth=$S14)*(year=$R14),$P$1:$P$13,0)</f>
        <v>177.79166666666666</v>
      </c>
      <c r="U14" s="18">
        <f t="shared" si="1"/>
        <v>7.9368828837339846E-3</v>
      </c>
      <c r="W14" s="12" t="s">
        <v>57</v>
      </c>
      <c r="X14" s="20">
        <v>7.9368828837339846E-3</v>
      </c>
    </row>
    <row r="15" spans="1:24" x14ac:dyDescent="0.3">
      <c r="U15" s="21"/>
    </row>
    <row r="18" spans="14:15" x14ac:dyDescent="0.3">
      <c r="N18" s="9"/>
      <c r="O18" s="16"/>
    </row>
    <row r="19" spans="14:15" x14ac:dyDescent="0.3">
      <c r="N19" s="9"/>
    </row>
    <row r="20" spans="14:15" x14ac:dyDescent="0.3">
      <c r="N20" s="9"/>
    </row>
    <row r="21" spans="14:15" x14ac:dyDescent="0.3">
      <c r="N21" s="9"/>
    </row>
    <row r="22" spans="14:15" x14ac:dyDescent="0.3">
      <c r="N22" s="9"/>
    </row>
    <row r="23" spans="14:15" x14ac:dyDescent="0.3">
      <c r="N23" s="9"/>
    </row>
  </sheetData>
  <mergeCells count="1">
    <mergeCell ref="R1:U1"/>
  </mergeCells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527C-35C8-4BE4-B32A-8DCEEC8D414D}">
  <dimension ref="A1:W14"/>
  <sheetViews>
    <sheetView topLeftCell="K1" workbookViewId="0">
      <selection activeCell="U20" sqref="U20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Q1" s="90" t="s">
        <v>34</v>
      </c>
      <c r="R1" s="90"/>
      <c r="S1" s="90"/>
      <c r="T1" s="90"/>
      <c r="V1" s="90" t="s">
        <v>34</v>
      </c>
      <c r="W1" s="90"/>
    </row>
    <row r="2" spans="1:23" x14ac:dyDescent="0.3">
      <c r="A2" t="s">
        <v>34</v>
      </c>
      <c r="B2">
        <v>2022</v>
      </c>
      <c r="C2" t="s">
        <v>39</v>
      </c>
      <c r="D2">
        <v>155</v>
      </c>
      <c r="E2">
        <v>219.4</v>
      </c>
      <c r="F2">
        <v>170.8</v>
      </c>
      <c r="G2">
        <v>165.8</v>
      </c>
      <c r="H2">
        <v>200.9</v>
      </c>
      <c r="I2">
        <v>169.7</v>
      </c>
      <c r="J2">
        <v>182.3</v>
      </c>
      <c r="K2">
        <v>164.3</v>
      </c>
      <c r="L2">
        <v>119.9</v>
      </c>
      <c r="M2">
        <v>187.1</v>
      </c>
      <c r="N2">
        <v>183.9</v>
      </c>
      <c r="O2">
        <v>174.9</v>
      </c>
      <c r="Q2" s="2" t="s">
        <v>48</v>
      </c>
      <c r="R2" s="10" t="s">
        <v>56</v>
      </c>
      <c r="S2" s="10" t="s">
        <v>57</v>
      </c>
      <c r="T2" s="10" t="s">
        <v>59</v>
      </c>
      <c r="V2" s="2" t="s">
        <v>48</v>
      </c>
      <c r="W2" s="10" t="s">
        <v>59</v>
      </c>
    </row>
    <row r="3" spans="1:23" x14ac:dyDescent="0.3">
      <c r="A3" t="s">
        <v>34</v>
      </c>
      <c r="B3">
        <v>2022</v>
      </c>
      <c r="C3" t="s">
        <v>40</v>
      </c>
      <c r="D3">
        <v>156.5</v>
      </c>
      <c r="E3">
        <v>213</v>
      </c>
      <c r="F3">
        <v>175.2</v>
      </c>
      <c r="G3">
        <v>166.6</v>
      </c>
      <c r="H3">
        <v>195.8</v>
      </c>
      <c r="I3">
        <v>174.2</v>
      </c>
      <c r="J3">
        <v>182.1</v>
      </c>
      <c r="K3">
        <v>164.3</v>
      </c>
      <c r="L3">
        <v>120</v>
      </c>
      <c r="M3">
        <v>190</v>
      </c>
      <c r="N3">
        <v>185.2</v>
      </c>
      <c r="O3">
        <v>175</v>
      </c>
      <c r="Q3" s="3" t="s">
        <v>3</v>
      </c>
      <c r="R3" s="3">
        <f t="shared" ref="R3:R14" si="0">INDEX($C$1:$O$13,MATCH("June",month,0),MATCH($Q3,Food,0))</f>
        <v>155</v>
      </c>
      <c r="S3" s="3">
        <f t="shared" ref="S3:S14" si="1">INDEX($C$1:$O$13,MATCH("May",month,0),MATCH($Q3,Food,0))</f>
        <v>173.7</v>
      </c>
      <c r="T3" s="5">
        <f>(S3-R3)/R3</f>
        <v>0.1206451612903225</v>
      </c>
      <c r="V3" s="3" t="s">
        <v>3</v>
      </c>
      <c r="W3" s="5">
        <v>0.1206451612903225</v>
      </c>
    </row>
    <row r="4" spans="1:23" x14ac:dyDescent="0.3">
      <c r="A4" t="s">
        <v>34</v>
      </c>
      <c r="B4">
        <v>2022</v>
      </c>
      <c r="C4" t="s">
        <v>41</v>
      </c>
      <c r="D4">
        <v>160.30000000000001</v>
      </c>
      <c r="E4">
        <v>206.5</v>
      </c>
      <c r="F4">
        <v>169.2</v>
      </c>
      <c r="G4">
        <v>168.1</v>
      </c>
      <c r="H4">
        <v>192.4</v>
      </c>
      <c r="I4">
        <v>172.9</v>
      </c>
      <c r="J4">
        <v>186.7</v>
      </c>
      <c r="K4">
        <v>167.2</v>
      </c>
      <c r="L4">
        <v>120.9</v>
      </c>
      <c r="M4">
        <v>193.6</v>
      </c>
      <c r="N4">
        <v>186.3</v>
      </c>
      <c r="O4">
        <v>176.3</v>
      </c>
      <c r="Q4" s="3" t="s">
        <v>4</v>
      </c>
      <c r="R4" s="3">
        <f t="shared" si="0"/>
        <v>219.4</v>
      </c>
      <c r="S4" s="3">
        <f t="shared" si="1"/>
        <v>214.3</v>
      </c>
      <c r="T4" s="5">
        <f t="shared" ref="T4:T14" si="2">(S4-R4)/R4</f>
        <v>-2.3245214220601614E-2</v>
      </c>
      <c r="V4" s="3" t="s">
        <v>4</v>
      </c>
      <c r="W4" s="5">
        <v>-2.3245214220601614E-2</v>
      </c>
    </row>
    <row r="5" spans="1:23" x14ac:dyDescent="0.3">
      <c r="A5" t="s">
        <v>34</v>
      </c>
      <c r="B5">
        <v>2022</v>
      </c>
      <c r="C5" t="s">
        <v>42</v>
      </c>
      <c r="D5">
        <v>163.5</v>
      </c>
      <c r="E5">
        <v>209.2</v>
      </c>
      <c r="F5">
        <v>169.7</v>
      </c>
      <c r="G5">
        <v>169.7</v>
      </c>
      <c r="H5">
        <v>188.7</v>
      </c>
      <c r="I5">
        <v>165.7</v>
      </c>
      <c r="J5">
        <v>191.8</v>
      </c>
      <c r="K5">
        <v>169.1</v>
      </c>
      <c r="L5">
        <v>121.6</v>
      </c>
      <c r="M5">
        <v>197.3</v>
      </c>
      <c r="N5">
        <v>187.4</v>
      </c>
      <c r="O5">
        <v>177.8</v>
      </c>
      <c r="Q5" s="3" t="s">
        <v>5</v>
      </c>
      <c r="R5" s="3">
        <f t="shared" si="0"/>
        <v>170.8</v>
      </c>
      <c r="S5" s="3">
        <f t="shared" si="1"/>
        <v>173.2</v>
      </c>
      <c r="T5" s="5">
        <f t="shared" si="2"/>
        <v>1.4051522248243426E-2</v>
      </c>
      <c r="V5" s="3" t="s">
        <v>5</v>
      </c>
      <c r="W5" s="5">
        <v>1.4051522248243426E-2</v>
      </c>
    </row>
    <row r="6" spans="1:23" x14ac:dyDescent="0.3">
      <c r="A6" t="s">
        <v>34</v>
      </c>
      <c r="B6">
        <v>2022</v>
      </c>
      <c r="C6" t="s">
        <v>43</v>
      </c>
      <c r="D6">
        <v>165.2</v>
      </c>
      <c r="E6">
        <v>210.9</v>
      </c>
      <c r="F6">
        <v>170.9</v>
      </c>
      <c r="G6">
        <v>170.9</v>
      </c>
      <c r="H6">
        <v>186.5</v>
      </c>
      <c r="I6">
        <v>163.80000000000001</v>
      </c>
      <c r="J6">
        <v>199.7</v>
      </c>
      <c r="K6">
        <v>169.8</v>
      </c>
      <c r="L6">
        <v>121.9</v>
      </c>
      <c r="M6">
        <v>199.9</v>
      </c>
      <c r="N6">
        <v>188.3</v>
      </c>
      <c r="O6">
        <v>179.6</v>
      </c>
      <c r="Q6" s="3" t="s">
        <v>6</v>
      </c>
      <c r="R6" s="3">
        <f t="shared" si="0"/>
        <v>165.8</v>
      </c>
      <c r="S6" s="3">
        <f t="shared" si="1"/>
        <v>179.5</v>
      </c>
      <c r="T6" s="5">
        <f t="shared" si="2"/>
        <v>8.2629674306393175E-2</v>
      </c>
      <c r="V6" s="3" t="s">
        <v>6</v>
      </c>
      <c r="W6" s="5">
        <v>8.2629674306393175E-2</v>
      </c>
    </row>
    <row r="7" spans="1:23" x14ac:dyDescent="0.3">
      <c r="A7" t="s">
        <v>34</v>
      </c>
      <c r="B7">
        <v>2022</v>
      </c>
      <c r="C7" t="s">
        <v>44</v>
      </c>
      <c r="D7">
        <v>167.4</v>
      </c>
      <c r="E7">
        <v>209.4</v>
      </c>
      <c r="F7">
        <v>181.4</v>
      </c>
      <c r="G7">
        <v>172.3</v>
      </c>
      <c r="H7">
        <v>188.9</v>
      </c>
      <c r="I7">
        <v>160.69999999999999</v>
      </c>
      <c r="J7">
        <v>183.1</v>
      </c>
      <c r="K7">
        <v>170.5</v>
      </c>
      <c r="L7">
        <v>122.1</v>
      </c>
      <c r="M7">
        <v>202.8</v>
      </c>
      <c r="N7">
        <v>189.5</v>
      </c>
      <c r="O7">
        <v>178.3</v>
      </c>
      <c r="Q7" s="3" t="s">
        <v>7</v>
      </c>
      <c r="R7" s="3">
        <f t="shared" si="0"/>
        <v>200.9</v>
      </c>
      <c r="S7" s="3">
        <f t="shared" si="1"/>
        <v>170</v>
      </c>
      <c r="T7" s="5">
        <f t="shared" si="2"/>
        <v>-0.15380786460925835</v>
      </c>
      <c r="V7" s="3" t="s">
        <v>7</v>
      </c>
      <c r="W7" s="5">
        <v>-0.15380786460925835</v>
      </c>
    </row>
    <row r="8" spans="1:23" x14ac:dyDescent="0.3">
      <c r="A8" t="s">
        <v>34</v>
      </c>
      <c r="B8">
        <v>2022</v>
      </c>
      <c r="C8" t="s">
        <v>45</v>
      </c>
      <c r="D8">
        <v>169.2</v>
      </c>
      <c r="E8">
        <v>209</v>
      </c>
      <c r="F8">
        <v>190.2</v>
      </c>
      <c r="G8">
        <v>173.6</v>
      </c>
      <c r="H8">
        <v>188.5</v>
      </c>
      <c r="I8">
        <v>158</v>
      </c>
      <c r="J8">
        <v>159.9</v>
      </c>
      <c r="K8">
        <v>170.8</v>
      </c>
      <c r="L8">
        <v>121.8</v>
      </c>
      <c r="M8">
        <v>205.2</v>
      </c>
      <c r="N8">
        <v>190.3</v>
      </c>
      <c r="O8">
        <v>175.9</v>
      </c>
      <c r="Q8" s="3" t="s">
        <v>8</v>
      </c>
      <c r="R8" s="3">
        <f t="shared" si="0"/>
        <v>169.7</v>
      </c>
      <c r="S8" s="3">
        <f t="shared" si="1"/>
        <v>172.2</v>
      </c>
      <c r="T8" s="5">
        <f t="shared" si="2"/>
        <v>1.4731879787860933E-2</v>
      </c>
      <c r="V8" s="3" t="s">
        <v>8</v>
      </c>
      <c r="W8" s="5">
        <v>1.4731879787860933E-2</v>
      </c>
    </row>
    <row r="9" spans="1:23" x14ac:dyDescent="0.3">
      <c r="A9" t="s">
        <v>34</v>
      </c>
      <c r="B9">
        <v>2023</v>
      </c>
      <c r="C9" t="s">
        <v>31</v>
      </c>
      <c r="D9">
        <v>173.8</v>
      </c>
      <c r="E9">
        <v>210.7</v>
      </c>
      <c r="F9">
        <v>194.5</v>
      </c>
      <c r="G9">
        <v>174.6</v>
      </c>
      <c r="H9">
        <v>187.2</v>
      </c>
      <c r="I9">
        <v>158.30000000000001</v>
      </c>
      <c r="J9">
        <v>153.9</v>
      </c>
      <c r="K9">
        <v>170.9</v>
      </c>
      <c r="L9">
        <v>121.1</v>
      </c>
      <c r="M9">
        <v>208.4</v>
      </c>
      <c r="N9">
        <v>191.2</v>
      </c>
      <c r="O9">
        <v>176.7</v>
      </c>
      <c r="Q9" s="3" t="s">
        <v>9</v>
      </c>
      <c r="R9" s="3">
        <f t="shared" si="0"/>
        <v>182.3</v>
      </c>
      <c r="S9" s="3">
        <f t="shared" si="1"/>
        <v>161</v>
      </c>
      <c r="T9" s="5">
        <f t="shared" si="2"/>
        <v>-0.11684037301151953</v>
      </c>
      <c r="V9" s="3" t="s">
        <v>9</v>
      </c>
      <c r="W9" s="5">
        <v>-0.11684037301151953</v>
      </c>
    </row>
    <row r="10" spans="1:23" x14ac:dyDescent="0.3">
      <c r="A10" t="s">
        <v>34</v>
      </c>
      <c r="B10">
        <v>2023</v>
      </c>
      <c r="C10" t="s">
        <v>35</v>
      </c>
      <c r="D10">
        <v>174.4</v>
      </c>
      <c r="E10">
        <v>207.7</v>
      </c>
      <c r="F10">
        <v>175.2</v>
      </c>
      <c r="G10">
        <v>177.3</v>
      </c>
      <c r="H10">
        <v>179.3</v>
      </c>
      <c r="I10">
        <v>169.5</v>
      </c>
      <c r="J10">
        <v>152.69999999999999</v>
      </c>
      <c r="K10">
        <v>171</v>
      </c>
      <c r="L10">
        <v>120</v>
      </c>
      <c r="M10">
        <v>209.7</v>
      </c>
      <c r="N10">
        <v>193</v>
      </c>
      <c r="O10">
        <v>177</v>
      </c>
      <c r="Q10" s="3" t="s">
        <v>10</v>
      </c>
      <c r="R10" s="3">
        <f t="shared" si="0"/>
        <v>164.3</v>
      </c>
      <c r="S10" s="3">
        <f t="shared" si="1"/>
        <v>175.6</v>
      </c>
      <c r="T10" s="5">
        <f t="shared" si="2"/>
        <v>6.8776628119293873E-2</v>
      </c>
      <c r="V10" s="3" t="s">
        <v>10</v>
      </c>
      <c r="W10" s="5">
        <v>6.8776628119293873E-2</v>
      </c>
    </row>
    <row r="11" spans="1:23" x14ac:dyDescent="0.3">
      <c r="A11" t="s">
        <v>34</v>
      </c>
      <c r="B11">
        <v>2023</v>
      </c>
      <c r="C11" t="s">
        <v>36</v>
      </c>
      <c r="D11">
        <v>174.4</v>
      </c>
      <c r="E11">
        <v>207.7</v>
      </c>
      <c r="F11">
        <v>175.2</v>
      </c>
      <c r="G11">
        <v>177.3</v>
      </c>
      <c r="H11">
        <v>179.2</v>
      </c>
      <c r="I11">
        <v>169.5</v>
      </c>
      <c r="J11">
        <v>152.80000000000001</v>
      </c>
      <c r="K11">
        <v>171.1</v>
      </c>
      <c r="L11">
        <v>120</v>
      </c>
      <c r="M11">
        <v>209.7</v>
      </c>
      <c r="N11">
        <v>193</v>
      </c>
      <c r="O11">
        <v>177</v>
      </c>
      <c r="Q11" s="3" t="s">
        <v>11</v>
      </c>
      <c r="R11" s="3">
        <f t="shared" si="0"/>
        <v>119.9</v>
      </c>
      <c r="S11" s="3">
        <f t="shared" si="1"/>
        <v>122.7</v>
      </c>
      <c r="T11" s="5">
        <f t="shared" si="2"/>
        <v>2.3352793994995805E-2</v>
      </c>
      <c r="V11" s="3" t="s">
        <v>11</v>
      </c>
      <c r="W11" s="5">
        <v>2.3352793994995805E-2</v>
      </c>
    </row>
    <row r="12" spans="1:23" x14ac:dyDescent="0.3">
      <c r="A12" t="s">
        <v>34</v>
      </c>
      <c r="B12">
        <v>2023</v>
      </c>
      <c r="C12" t="s">
        <v>37</v>
      </c>
      <c r="D12">
        <v>173.8</v>
      </c>
      <c r="E12">
        <v>209.3</v>
      </c>
      <c r="F12">
        <v>169.6</v>
      </c>
      <c r="G12">
        <v>178.4</v>
      </c>
      <c r="H12">
        <v>174.9</v>
      </c>
      <c r="I12">
        <v>176.3</v>
      </c>
      <c r="J12">
        <v>155.4</v>
      </c>
      <c r="K12">
        <v>173.4</v>
      </c>
      <c r="L12">
        <v>121.3</v>
      </c>
      <c r="M12">
        <v>212.9</v>
      </c>
      <c r="N12">
        <v>193.5</v>
      </c>
      <c r="O12">
        <v>177.9</v>
      </c>
      <c r="Q12" s="22" t="s">
        <v>12</v>
      </c>
      <c r="R12" s="22">
        <f t="shared" si="0"/>
        <v>187.1</v>
      </c>
      <c r="S12" s="22">
        <f t="shared" si="1"/>
        <v>218</v>
      </c>
      <c r="T12" s="23">
        <f t="shared" si="2"/>
        <v>0.16515232495991453</v>
      </c>
      <c r="V12" s="13" t="s">
        <v>12</v>
      </c>
      <c r="W12" s="14">
        <v>0.16515232495991453</v>
      </c>
    </row>
    <row r="13" spans="1:23" x14ac:dyDescent="0.3">
      <c r="A13" t="s">
        <v>34</v>
      </c>
      <c r="B13">
        <v>2023</v>
      </c>
      <c r="C13" t="s">
        <v>38</v>
      </c>
      <c r="D13">
        <v>173.7</v>
      </c>
      <c r="E13">
        <v>214.3</v>
      </c>
      <c r="F13">
        <v>173.2</v>
      </c>
      <c r="G13">
        <v>179.5</v>
      </c>
      <c r="H13">
        <v>170</v>
      </c>
      <c r="I13">
        <v>172.2</v>
      </c>
      <c r="J13">
        <v>161</v>
      </c>
      <c r="K13">
        <v>175.6</v>
      </c>
      <c r="L13">
        <v>122.7</v>
      </c>
      <c r="M13">
        <v>218</v>
      </c>
      <c r="N13">
        <v>194.2</v>
      </c>
      <c r="O13">
        <v>179.1</v>
      </c>
      <c r="Q13" s="3" t="s">
        <v>14</v>
      </c>
      <c r="R13" s="3">
        <f t="shared" si="0"/>
        <v>183.9</v>
      </c>
      <c r="S13" s="3">
        <f t="shared" si="1"/>
        <v>194.2</v>
      </c>
      <c r="T13" s="5">
        <f t="shared" si="2"/>
        <v>5.6008700380641561E-2</v>
      </c>
      <c r="V13" s="3" t="s">
        <v>14</v>
      </c>
      <c r="W13" s="5">
        <v>5.6008700380641561E-2</v>
      </c>
    </row>
    <row r="14" spans="1:23" x14ac:dyDescent="0.3">
      <c r="Q14" s="3" t="s">
        <v>15</v>
      </c>
      <c r="R14" s="3">
        <f t="shared" si="0"/>
        <v>174.9</v>
      </c>
      <c r="S14" s="3">
        <f t="shared" si="1"/>
        <v>179.1</v>
      </c>
      <c r="T14" s="5">
        <f t="shared" si="2"/>
        <v>2.4013722126929607E-2</v>
      </c>
      <c r="V14" s="3" t="s">
        <v>15</v>
      </c>
      <c r="W14" s="5">
        <v>2.4013722126929607E-2</v>
      </c>
    </row>
  </sheetData>
  <mergeCells count="2">
    <mergeCell ref="Q1:T1"/>
    <mergeCell ref="V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CE0AB-58C7-4238-A67A-AACE6DEDCDD0}">
  <dimension ref="A1:DE32"/>
  <sheetViews>
    <sheetView topLeftCell="CI2" workbookViewId="0">
      <selection activeCell="CL4" sqref="CL4:CX5"/>
    </sheetView>
  </sheetViews>
  <sheetFormatPr defaultRowHeight="14.4" x14ac:dyDescent="0.3"/>
  <cols>
    <col min="69" max="69" width="12.21875" customWidth="1"/>
    <col min="74" max="74" width="15.6640625" customWidth="1"/>
    <col min="84" max="84" width="14.33203125" customWidth="1"/>
    <col min="98" max="98" width="15.33203125" customWidth="1"/>
  </cols>
  <sheetData>
    <row r="1" spans="1:98" x14ac:dyDescent="0.3">
      <c r="BQ1" s="93" t="s">
        <v>128</v>
      </c>
      <c r="BR1" s="93"/>
      <c r="BS1" s="93"/>
      <c r="BT1" s="93"/>
      <c r="BV1" s="93" t="s">
        <v>149</v>
      </c>
      <c r="BW1" s="93"/>
      <c r="BX1" s="93"/>
      <c r="BY1" s="93"/>
      <c r="BZ1" s="28"/>
      <c r="CA1" s="94"/>
      <c r="CB1" s="94"/>
      <c r="CC1" s="94"/>
      <c r="CD1" s="94"/>
      <c r="CF1" s="93" t="s">
        <v>150</v>
      </c>
      <c r="CG1" s="93"/>
      <c r="CH1" s="93"/>
      <c r="CI1" s="93"/>
    </row>
    <row r="2" spans="1:98" x14ac:dyDescent="0.3">
      <c r="A2" s="24" t="s">
        <v>126</v>
      </c>
      <c r="B2" s="24" t="s">
        <v>127</v>
      </c>
      <c r="C2" s="24" t="s">
        <v>74</v>
      </c>
      <c r="D2" s="24" t="s">
        <v>75</v>
      </c>
      <c r="E2" s="24" t="s">
        <v>62</v>
      </c>
      <c r="F2" s="24" t="s">
        <v>63</v>
      </c>
      <c r="G2" s="24" t="s">
        <v>64</v>
      </c>
      <c r="H2" s="24" t="s">
        <v>65</v>
      </c>
      <c r="I2" s="24" t="s">
        <v>66</v>
      </c>
      <c r="J2" s="24" t="s">
        <v>67</v>
      </c>
      <c r="K2" s="24" t="s">
        <v>68</v>
      </c>
      <c r="L2" s="24" t="s">
        <v>69</v>
      </c>
      <c r="M2" s="24" t="s">
        <v>70</v>
      </c>
      <c r="N2" s="24" t="s">
        <v>71</v>
      </c>
      <c r="O2" s="24" t="s">
        <v>72</v>
      </c>
      <c r="P2" s="24" t="s">
        <v>73</v>
      </c>
      <c r="Q2" s="24" t="s">
        <v>76</v>
      </c>
      <c r="R2" s="24" t="s">
        <v>77</v>
      </c>
      <c r="S2" s="24" t="s">
        <v>78</v>
      </c>
      <c r="T2" s="24" t="s">
        <v>79</v>
      </c>
      <c r="U2" s="24" t="s">
        <v>80</v>
      </c>
      <c r="V2" s="24" t="s">
        <v>81</v>
      </c>
      <c r="W2" s="24" t="s">
        <v>82</v>
      </c>
      <c r="X2" s="24" t="s">
        <v>83</v>
      </c>
      <c r="Y2" s="24" t="s">
        <v>84</v>
      </c>
      <c r="Z2" s="24" t="s">
        <v>85</v>
      </c>
      <c r="AA2" s="24" t="s">
        <v>86</v>
      </c>
      <c r="AB2" s="24" t="s">
        <v>87</v>
      </c>
      <c r="AC2" s="24" t="s">
        <v>88</v>
      </c>
      <c r="AD2" s="24" t="s">
        <v>89</v>
      </c>
      <c r="AE2" s="24" t="s">
        <v>90</v>
      </c>
      <c r="AF2" s="24" t="s">
        <v>91</v>
      </c>
      <c r="AG2" s="24" t="s">
        <v>92</v>
      </c>
      <c r="AH2" s="24" t="s">
        <v>93</v>
      </c>
      <c r="AI2" s="24" t="s">
        <v>94</v>
      </c>
      <c r="AJ2" s="24" t="s">
        <v>95</v>
      </c>
      <c r="AK2" s="24" t="s">
        <v>96</v>
      </c>
      <c r="AL2" s="24" t="s">
        <v>97</v>
      </c>
      <c r="AM2" s="24" t="s">
        <v>98</v>
      </c>
      <c r="AN2" s="24" t="s">
        <v>99</v>
      </c>
      <c r="AO2" s="24" t="s">
        <v>100</v>
      </c>
      <c r="AP2" s="24" t="s">
        <v>101</v>
      </c>
      <c r="AQ2" s="24" t="s">
        <v>102</v>
      </c>
      <c r="AR2" s="24" t="s">
        <v>103</v>
      </c>
      <c r="AS2" s="24" t="s">
        <v>104</v>
      </c>
      <c r="AT2" s="24" t="s">
        <v>105</v>
      </c>
      <c r="AU2" s="24" t="s">
        <v>106</v>
      </c>
      <c r="AV2" s="24" t="s">
        <v>107</v>
      </c>
      <c r="AW2" s="24" t="s">
        <v>108</v>
      </c>
      <c r="AX2" s="24" t="s">
        <v>109</v>
      </c>
      <c r="AY2" s="24" t="s">
        <v>110</v>
      </c>
      <c r="AZ2" s="24" t="s">
        <v>111</v>
      </c>
      <c r="BA2" s="24" t="s">
        <v>112</v>
      </c>
      <c r="BB2" s="24" t="s">
        <v>113</v>
      </c>
      <c r="BC2" s="24" t="s">
        <v>114</v>
      </c>
      <c r="BD2" s="24" t="s">
        <v>115</v>
      </c>
      <c r="BE2" s="24" t="s">
        <v>116</v>
      </c>
      <c r="BF2" s="24" t="s">
        <v>117</v>
      </c>
      <c r="BG2" s="24" t="s">
        <v>118</v>
      </c>
      <c r="BH2" s="24" t="s">
        <v>119</v>
      </c>
      <c r="BI2" s="24" t="s">
        <v>120</v>
      </c>
      <c r="BJ2" s="24" t="s">
        <v>121</v>
      </c>
      <c r="BK2" s="24" t="s">
        <v>122</v>
      </c>
      <c r="BL2" s="24" t="s">
        <v>123</v>
      </c>
      <c r="BM2" s="24" t="s">
        <v>124</v>
      </c>
      <c r="BN2" s="24" t="s">
        <v>125</v>
      </c>
      <c r="BQ2" s="27" t="s">
        <v>127</v>
      </c>
      <c r="BR2" s="27" t="s">
        <v>48</v>
      </c>
      <c r="BS2" s="27" t="s">
        <v>61</v>
      </c>
      <c r="BT2" s="27" t="s">
        <v>23</v>
      </c>
      <c r="BV2" s="27" t="s">
        <v>127</v>
      </c>
      <c r="BW2" s="27" t="s">
        <v>48</v>
      </c>
      <c r="BX2" s="27" t="s">
        <v>61</v>
      </c>
      <c r="BY2" s="27" t="s">
        <v>23</v>
      </c>
      <c r="BZ2" s="22"/>
      <c r="CA2" s="27" t="s">
        <v>127</v>
      </c>
      <c r="CB2" s="27" t="s">
        <v>48</v>
      </c>
      <c r="CC2" s="27" t="s">
        <v>61</v>
      </c>
      <c r="CD2" s="27" t="s">
        <v>23</v>
      </c>
      <c r="CF2" s="27" t="s">
        <v>127</v>
      </c>
      <c r="CG2" s="27" t="s">
        <v>48</v>
      </c>
      <c r="CH2" s="27" t="s">
        <v>61</v>
      </c>
      <c r="CI2" s="27" t="s">
        <v>23</v>
      </c>
    </row>
    <row r="3" spans="1:98" x14ac:dyDescent="0.3">
      <c r="A3" t="s">
        <v>3</v>
      </c>
      <c r="B3" t="s">
        <v>48</v>
      </c>
      <c r="C3">
        <v>136</v>
      </c>
      <c r="D3">
        <v>135.9</v>
      </c>
      <c r="E3">
        <v>136.19999999999999</v>
      </c>
      <c r="F3">
        <v>136.4</v>
      </c>
      <c r="G3">
        <v>136.6</v>
      </c>
      <c r="H3">
        <v>136.9</v>
      </c>
      <c r="I3">
        <v>137.5</v>
      </c>
      <c r="J3">
        <v>138.30000000000001</v>
      </c>
      <c r="K3">
        <v>138.6</v>
      </c>
      <c r="L3">
        <v>137.4</v>
      </c>
      <c r="M3">
        <v>137.4</v>
      </c>
      <c r="N3">
        <v>137.5</v>
      </c>
      <c r="O3">
        <v>137.1</v>
      </c>
      <c r="P3">
        <v>137.6</v>
      </c>
      <c r="Q3">
        <v>137.80000000000001</v>
      </c>
      <c r="R3">
        <v>138.30000000000001</v>
      </c>
      <c r="S3">
        <v>138.69999999999999</v>
      </c>
      <c r="T3">
        <v>139.30000000000001</v>
      </c>
      <c r="U3">
        <v>140.1</v>
      </c>
      <c r="V3">
        <v>140.9</v>
      </c>
      <c r="W3">
        <v>141.80000000000001</v>
      </c>
      <c r="X3">
        <v>142.5</v>
      </c>
      <c r="Y3">
        <v>143.5</v>
      </c>
      <c r="Z3">
        <v>144.30000000000001</v>
      </c>
      <c r="AA3">
        <v>144.80000000000001</v>
      </c>
      <c r="AB3">
        <v>145.1</v>
      </c>
      <c r="AC3">
        <v>148.69999999999999</v>
      </c>
      <c r="AD3">
        <v>149.14999999999998</v>
      </c>
      <c r="AE3">
        <v>149.6</v>
      </c>
      <c r="AF3">
        <v>149.6</v>
      </c>
      <c r="AG3">
        <v>148.9</v>
      </c>
      <c r="AH3">
        <v>148.4</v>
      </c>
      <c r="AI3">
        <v>147.5</v>
      </c>
      <c r="AJ3">
        <v>146.80000000000001</v>
      </c>
      <c r="AK3">
        <v>146</v>
      </c>
      <c r="AL3">
        <v>144.9</v>
      </c>
      <c r="AM3">
        <v>144.30000000000001</v>
      </c>
      <c r="AN3">
        <v>144.1</v>
      </c>
      <c r="AO3">
        <v>144.30000000000001</v>
      </c>
      <c r="AP3">
        <v>146.30000000000001</v>
      </c>
      <c r="AQ3">
        <v>146.69999999999999</v>
      </c>
      <c r="AR3">
        <v>146.4</v>
      </c>
      <c r="AS3">
        <v>146.6</v>
      </c>
      <c r="AT3">
        <v>146.6</v>
      </c>
      <c r="AU3">
        <v>147.4</v>
      </c>
      <c r="AV3">
        <v>148.19999999999999</v>
      </c>
      <c r="AW3">
        <v>148.69999999999999</v>
      </c>
      <c r="AX3">
        <v>149.5</v>
      </c>
      <c r="AY3">
        <v>150</v>
      </c>
      <c r="AZ3">
        <v>151.30000000000001</v>
      </c>
      <c r="BA3">
        <v>152.9</v>
      </c>
      <c r="BB3">
        <v>154.1</v>
      </c>
      <c r="BC3">
        <v>155</v>
      </c>
      <c r="BD3">
        <v>156.5</v>
      </c>
      <c r="BE3">
        <v>160.30000000000001</v>
      </c>
      <c r="BF3">
        <v>163.5</v>
      </c>
      <c r="BG3">
        <v>165.2</v>
      </c>
      <c r="BH3">
        <v>167.4</v>
      </c>
      <c r="BI3">
        <v>169.2</v>
      </c>
      <c r="BJ3">
        <v>173.8</v>
      </c>
      <c r="BK3">
        <v>174.4</v>
      </c>
      <c r="BL3">
        <v>174.4</v>
      </c>
      <c r="BM3">
        <v>173.8</v>
      </c>
      <c r="BN3">
        <v>173.7</v>
      </c>
      <c r="BQ3" s="3" t="s">
        <v>75</v>
      </c>
      <c r="BR3" s="3">
        <v>135.98333333333332</v>
      </c>
      <c r="BS3" s="3">
        <v>134.47999999999999</v>
      </c>
      <c r="BT3" s="3">
        <v>133.80000000000001</v>
      </c>
      <c r="BV3" s="3" t="s">
        <v>75</v>
      </c>
      <c r="BW3" s="3" t="s">
        <v>46</v>
      </c>
      <c r="BX3" s="3" t="s">
        <v>46</v>
      </c>
      <c r="BY3" s="3" t="s">
        <v>46</v>
      </c>
      <c r="BZ3" s="3"/>
      <c r="CA3" s="3" t="s">
        <v>88</v>
      </c>
      <c r="CB3" s="3">
        <v>148.59</v>
      </c>
      <c r="CC3" s="3">
        <v>149.85</v>
      </c>
      <c r="CD3" s="3">
        <v>150.69999999999999</v>
      </c>
      <c r="CF3" s="3" t="s">
        <v>88</v>
      </c>
      <c r="CG3" s="3" t="s">
        <v>46</v>
      </c>
      <c r="CH3" s="3" t="s">
        <v>46</v>
      </c>
      <c r="CI3" s="3" t="s">
        <v>46</v>
      </c>
    </row>
    <row r="4" spans="1:98" x14ac:dyDescent="0.3">
      <c r="A4" t="s">
        <v>4</v>
      </c>
      <c r="B4" t="s">
        <v>48</v>
      </c>
      <c r="C4">
        <v>144.19999999999999</v>
      </c>
      <c r="D4">
        <v>143.5</v>
      </c>
      <c r="E4">
        <v>143.6</v>
      </c>
      <c r="F4">
        <v>144.4</v>
      </c>
      <c r="G4">
        <v>146.6</v>
      </c>
      <c r="H4">
        <v>148.69999999999999</v>
      </c>
      <c r="I4">
        <v>149.1</v>
      </c>
      <c r="J4">
        <v>148</v>
      </c>
      <c r="K4">
        <v>145.80000000000001</v>
      </c>
      <c r="L4">
        <v>149.5</v>
      </c>
      <c r="M4">
        <v>149.19999999999999</v>
      </c>
      <c r="N4">
        <v>150.5</v>
      </c>
      <c r="O4">
        <v>151.4</v>
      </c>
      <c r="P4">
        <v>152</v>
      </c>
      <c r="Q4">
        <v>153</v>
      </c>
      <c r="R4">
        <v>158.5</v>
      </c>
      <c r="S4">
        <v>162.1</v>
      </c>
      <c r="T4">
        <v>162.69999999999999</v>
      </c>
      <c r="U4">
        <v>160.6</v>
      </c>
      <c r="V4">
        <v>160.80000000000001</v>
      </c>
      <c r="W4">
        <v>161</v>
      </c>
      <c r="X4">
        <v>163.19999999999999</v>
      </c>
      <c r="Y4">
        <v>165</v>
      </c>
      <c r="Z4">
        <v>167.4</v>
      </c>
      <c r="AA4">
        <v>167.5</v>
      </c>
      <c r="AB4">
        <v>167</v>
      </c>
      <c r="AC4" t="s">
        <v>32</v>
      </c>
      <c r="AD4">
        <v>182.64374999999998</v>
      </c>
      <c r="AE4">
        <v>192.7</v>
      </c>
      <c r="AF4">
        <v>192.7</v>
      </c>
      <c r="AG4">
        <v>190.9</v>
      </c>
      <c r="AH4">
        <v>187.1</v>
      </c>
      <c r="AI4">
        <v>188.9</v>
      </c>
      <c r="AJ4">
        <v>191</v>
      </c>
      <c r="AK4">
        <v>191</v>
      </c>
      <c r="AL4">
        <v>190.1</v>
      </c>
      <c r="AM4">
        <v>186.5</v>
      </c>
      <c r="AN4">
        <v>192.2</v>
      </c>
      <c r="AO4">
        <v>198</v>
      </c>
      <c r="AP4">
        <v>200.5</v>
      </c>
      <c r="AQ4">
        <v>202</v>
      </c>
      <c r="AR4">
        <v>206.8</v>
      </c>
      <c r="AS4">
        <v>204</v>
      </c>
      <c r="AT4">
        <v>204</v>
      </c>
      <c r="AU4">
        <v>204.6</v>
      </c>
      <c r="AV4">
        <v>201.6</v>
      </c>
      <c r="AW4">
        <v>198.8</v>
      </c>
      <c r="AX4">
        <v>198.7</v>
      </c>
      <c r="AY4">
        <v>200.6</v>
      </c>
      <c r="AZ4">
        <v>210.7</v>
      </c>
      <c r="BA4">
        <v>211.8</v>
      </c>
      <c r="BB4">
        <v>217</v>
      </c>
      <c r="BC4">
        <v>219.4</v>
      </c>
      <c r="BD4">
        <v>213</v>
      </c>
      <c r="BE4">
        <v>206.5</v>
      </c>
      <c r="BF4">
        <v>209.2</v>
      </c>
      <c r="BG4">
        <v>210.9</v>
      </c>
      <c r="BH4">
        <v>209.4</v>
      </c>
      <c r="BI4">
        <v>209</v>
      </c>
      <c r="BJ4">
        <v>210.7</v>
      </c>
      <c r="BK4">
        <v>207.7</v>
      </c>
      <c r="BL4">
        <v>207.7</v>
      </c>
      <c r="BM4">
        <v>209.3</v>
      </c>
      <c r="BN4">
        <v>214.3</v>
      </c>
      <c r="BQ4" s="3" t="s">
        <v>62</v>
      </c>
      <c r="BR4" s="3">
        <v>135.57500000000002</v>
      </c>
      <c r="BS4" s="3">
        <v>134.98000000000002</v>
      </c>
      <c r="BT4" s="3">
        <v>134.30000000000001</v>
      </c>
      <c r="BV4" s="3" t="s">
        <v>62</v>
      </c>
      <c r="BW4" s="18">
        <f>(BR4-BR3)/BR3</f>
        <v>-3.0028189729131246E-3</v>
      </c>
      <c r="BX4" s="18">
        <f>(BS4-BS3)/BS3</f>
        <v>3.7180249851281118E-3</v>
      </c>
      <c r="BY4" s="18">
        <f t="shared" ref="BY4:BY25" si="0">(BT4-BT3)/BT3</f>
        <v>3.7369207772795215E-3</v>
      </c>
      <c r="BZ4" s="3"/>
      <c r="CA4" s="3" t="s">
        <v>89</v>
      </c>
      <c r="CB4">
        <v>151.92604166666666</v>
      </c>
      <c r="CC4">
        <v>147.45125000000002</v>
      </c>
      <c r="CD4">
        <v>152.55000000000001</v>
      </c>
      <c r="CF4" s="3" t="s">
        <v>89</v>
      </c>
      <c r="CG4" s="18">
        <f>(CB4-CB3)/CB3</f>
        <v>2.2451320187540612E-2</v>
      </c>
      <c r="CH4" s="18">
        <f t="shared" ref="CH4:CI4" si="1">(CC4-CC3)/CC3</f>
        <v>-1.6007674341007531E-2</v>
      </c>
      <c r="CI4" s="18">
        <f t="shared" si="1"/>
        <v>1.2276045122760603E-2</v>
      </c>
      <c r="CP4" s="92" t="s">
        <v>133</v>
      </c>
      <c r="CQ4" s="92"/>
      <c r="CR4" s="92"/>
      <c r="CS4" s="92"/>
      <c r="CT4" s="92"/>
    </row>
    <row r="5" spans="1:98" x14ac:dyDescent="0.3">
      <c r="A5" t="s">
        <v>5</v>
      </c>
      <c r="B5" t="s">
        <v>48</v>
      </c>
      <c r="C5">
        <v>143.69999999999999</v>
      </c>
      <c r="D5">
        <v>140.30000000000001</v>
      </c>
      <c r="E5">
        <v>138.30000000000001</v>
      </c>
      <c r="F5">
        <v>133.9</v>
      </c>
      <c r="G5">
        <v>133.6</v>
      </c>
      <c r="H5">
        <v>135.6</v>
      </c>
      <c r="I5">
        <v>139.19999999999999</v>
      </c>
      <c r="J5">
        <v>138.1</v>
      </c>
      <c r="K5">
        <v>135.1</v>
      </c>
      <c r="L5">
        <v>137.30000000000001</v>
      </c>
      <c r="M5">
        <v>137.1</v>
      </c>
      <c r="N5">
        <v>138.80000000000001</v>
      </c>
      <c r="O5">
        <v>140.19999999999999</v>
      </c>
      <c r="P5">
        <v>141.5</v>
      </c>
      <c r="Q5">
        <v>140.30000000000001</v>
      </c>
      <c r="R5">
        <v>136</v>
      </c>
      <c r="S5">
        <v>137.80000000000001</v>
      </c>
      <c r="T5">
        <v>140</v>
      </c>
      <c r="U5">
        <v>138.5</v>
      </c>
      <c r="V5">
        <v>139.6</v>
      </c>
      <c r="W5">
        <v>142.6</v>
      </c>
      <c r="X5">
        <v>145.6</v>
      </c>
      <c r="Y5">
        <v>151.1</v>
      </c>
      <c r="Z5">
        <v>154.9</v>
      </c>
      <c r="AA5">
        <v>151.80000000000001</v>
      </c>
      <c r="AB5">
        <v>148.1</v>
      </c>
      <c r="AC5">
        <v>148.80000000000001</v>
      </c>
      <c r="AD5">
        <v>150.10000000000002</v>
      </c>
      <c r="AE5">
        <v>151.4</v>
      </c>
      <c r="AF5">
        <v>151.4</v>
      </c>
      <c r="AG5">
        <v>150.80000000000001</v>
      </c>
      <c r="AH5">
        <v>152.5</v>
      </c>
      <c r="AI5">
        <v>161.4</v>
      </c>
      <c r="AJ5">
        <v>173.6</v>
      </c>
      <c r="AK5">
        <v>175.3</v>
      </c>
      <c r="AL5">
        <v>175.3</v>
      </c>
      <c r="AM5">
        <v>168.7</v>
      </c>
      <c r="AN5">
        <v>163.80000000000001</v>
      </c>
      <c r="AO5">
        <v>164.6</v>
      </c>
      <c r="AP5">
        <v>170.3</v>
      </c>
      <c r="AQ5">
        <v>180.7</v>
      </c>
      <c r="AR5">
        <v>182.2</v>
      </c>
      <c r="AS5">
        <v>172.8</v>
      </c>
      <c r="AT5">
        <v>172.8</v>
      </c>
      <c r="AU5">
        <v>171.2</v>
      </c>
      <c r="AV5">
        <v>173</v>
      </c>
      <c r="AW5">
        <v>177.9</v>
      </c>
      <c r="AX5">
        <v>178.8</v>
      </c>
      <c r="AY5">
        <v>175.8</v>
      </c>
      <c r="AZ5">
        <v>167.8</v>
      </c>
      <c r="BA5">
        <v>164.5</v>
      </c>
      <c r="BB5">
        <v>162.4</v>
      </c>
      <c r="BC5">
        <v>170.8</v>
      </c>
      <c r="BD5">
        <v>175.2</v>
      </c>
      <c r="BE5">
        <v>169.2</v>
      </c>
      <c r="BF5">
        <v>169.7</v>
      </c>
      <c r="BG5">
        <v>170.9</v>
      </c>
      <c r="BH5">
        <v>181.4</v>
      </c>
      <c r="BI5">
        <v>190.2</v>
      </c>
      <c r="BJ5">
        <v>194.5</v>
      </c>
      <c r="BK5">
        <v>175.2</v>
      </c>
      <c r="BL5">
        <v>175.2</v>
      </c>
      <c r="BM5">
        <v>169.6</v>
      </c>
      <c r="BN5">
        <v>173.2</v>
      </c>
      <c r="BQ5" s="3" t="s">
        <v>63</v>
      </c>
      <c r="BR5" s="3">
        <v>135.62500000000003</v>
      </c>
      <c r="BS5" s="3">
        <v>135.85999999999999</v>
      </c>
      <c r="BT5" s="3">
        <v>135.19999999999999</v>
      </c>
      <c r="BV5" s="3" t="s">
        <v>63</v>
      </c>
      <c r="BW5" s="18">
        <f t="shared" ref="BW5:BW26" si="2">(BR5-BR4)/BR4</f>
        <v>3.6879955744061488E-4</v>
      </c>
      <c r="BX5" s="18">
        <f t="shared" ref="BX5:BX26" si="3">(BS5-BS4)/BS4</f>
        <v>6.5194843680542814E-3</v>
      </c>
      <c r="BY5" s="18">
        <f t="shared" si="0"/>
        <v>6.7014147431122646E-3</v>
      </c>
      <c r="BZ5" s="3"/>
      <c r="CA5" s="3" t="s">
        <v>90</v>
      </c>
      <c r="CB5" s="3">
        <v>152.28333333333333</v>
      </c>
      <c r="CC5" s="3">
        <v>146.88</v>
      </c>
      <c r="CD5" s="3">
        <v>154.4</v>
      </c>
      <c r="CF5" s="3" t="s">
        <v>90</v>
      </c>
      <c r="CG5" s="18">
        <f t="shared" ref="CG5:CG26" si="4">(CB5-CB4)/CB4</f>
        <v>2.3517473551412887E-3</v>
      </c>
      <c r="CH5" s="18">
        <f t="shared" ref="CH5:CH26" si="5">(CC5-CC4)/CC4</f>
        <v>-3.8741617992388696E-3</v>
      </c>
      <c r="CI5" s="18">
        <f t="shared" ref="CI5:CI26" si="6">(CD5-CD4)/CD4</f>
        <v>1.2127171419206779E-2</v>
      </c>
    </row>
    <row r="6" spans="1:98" x14ac:dyDescent="0.3">
      <c r="A6" t="s">
        <v>6</v>
      </c>
      <c r="B6" t="s">
        <v>48</v>
      </c>
      <c r="C6">
        <v>141.1</v>
      </c>
      <c r="D6">
        <v>140.9</v>
      </c>
      <c r="E6">
        <v>141.19999999999999</v>
      </c>
      <c r="F6">
        <v>141.6</v>
      </c>
      <c r="G6">
        <v>142.1</v>
      </c>
      <c r="H6">
        <v>142.30000000000001</v>
      </c>
      <c r="I6">
        <v>142.5</v>
      </c>
      <c r="J6">
        <v>142.6</v>
      </c>
      <c r="K6">
        <v>142.9</v>
      </c>
      <c r="L6">
        <v>141.9</v>
      </c>
      <c r="M6">
        <v>141.80000000000001</v>
      </c>
      <c r="N6">
        <v>142.1</v>
      </c>
      <c r="O6">
        <v>142.1</v>
      </c>
      <c r="P6">
        <v>142.19999999999999</v>
      </c>
      <c r="Q6">
        <v>142.30000000000001</v>
      </c>
      <c r="R6">
        <v>142.5</v>
      </c>
      <c r="S6">
        <v>143.30000000000001</v>
      </c>
      <c r="T6">
        <v>144</v>
      </c>
      <c r="U6">
        <v>144.69999999999999</v>
      </c>
      <c r="V6">
        <v>145.4</v>
      </c>
      <c r="W6">
        <v>146.19999999999999</v>
      </c>
      <c r="X6">
        <v>146.69999999999999</v>
      </c>
      <c r="Y6">
        <v>148.30000000000001</v>
      </c>
      <c r="Z6">
        <v>150.1</v>
      </c>
      <c r="AA6">
        <v>150.80000000000001</v>
      </c>
      <c r="AB6">
        <v>151.5</v>
      </c>
      <c r="AC6">
        <v>155.6</v>
      </c>
      <c r="AD6">
        <v>154.44999999999999</v>
      </c>
      <c r="AE6">
        <v>153.30000000000001</v>
      </c>
      <c r="AF6">
        <v>153.30000000000001</v>
      </c>
      <c r="AG6">
        <v>153.30000000000001</v>
      </c>
      <c r="AH6">
        <v>153.6</v>
      </c>
      <c r="AI6">
        <v>153.6</v>
      </c>
      <c r="AJ6">
        <v>153.80000000000001</v>
      </c>
      <c r="AK6">
        <v>154.1</v>
      </c>
      <c r="AL6">
        <v>154.1</v>
      </c>
      <c r="AM6">
        <v>154.69999999999999</v>
      </c>
      <c r="AN6">
        <v>154.9</v>
      </c>
      <c r="AO6">
        <v>155.4</v>
      </c>
      <c r="AP6">
        <v>156.1</v>
      </c>
      <c r="AQ6">
        <v>156.19999999999999</v>
      </c>
      <c r="AR6">
        <v>157.5</v>
      </c>
      <c r="AS6">
        <v>158.4</v>
      </c>
      <c r="AT6">
        <v>158.4</v>
      </c>
      <c r="AU6">
        <v>158.69999999999999</v>
      </c>
      <c r="AV6">
        <v>159.30000000000001</v>
      </c>
      <c r="AW6">
        <v>159.9</v>
      </c>
      <c r="AX6">
        <v>160.5</v>
      </c>
      <c r="AY6">
        <v>160.69999999999999</v>
      </c>
      <c r="AZ6">
        <v>162.19999999999999</v>
      </c>
      <c r="BA6">
        <v>163.9</v>
      </c>
      <c r="BB6">
        <v>164.9</v>
      </c>
      <c r="BC6">
        <v>165.8</v>
      </c>
      <c r="BD6">
        <v>166.6</v>
      </c>
      <c r="BE6">
        <v>168.1</v>
      </c>
      <c r="BF6">
        <v>169.7</v>
      </c>
      <c r="BG6">
        <v>170.9</v>
      </c>
      <c r="BH6">
        <v>172.3</v>
      </c>
      <c r="BI6">
        <v>173.6</v>
      </c>
      <c r="BJ6">
        <v>174.6</v>
      </c>
      <c r="BK6">
        <v>177.3</v>
      </c>
      <c r="BL6">
        <v>177.3</v>
      </c>
      <c r="BM6">
        <v>178.4</v>
      </c>
      <c r="BN6">
        <v>179.5</v>
      </c>
      <c r="BQ6" s="3" t="s">
        <v>64</v>
      </c>
      <c r="BR6" s="3">
        <v>135.82499999999999</v>
      </c>
      <c r="BS6" s="3">
        <v>136.5</v>
      </c>
      <c r="BT6" s="3">
        <v>136</v>
      </c>
      <c r="BV6" s="3" t="s">
        <v>64</v>
      </c>
      <c r="BW6" s="18">
        <f t="shared" si="2"/>
        <v>1.4746543778798907E-3</v>
      </c>
      <c r="BX6" s="18">
        <f t="shared" si="3"/>
        <v>4.7107316355072494E-3</v>
      </c>
      <c r="BY6" s="18">
        <f t="shared" si="0"/>
        <v>5.9171597633136943E-3</v>
      </c>
      <c r="BZ6" s="3"/>
      <c r="CA6" s="3" t="s">
        <v>91</v>
      </c>
      <c r="CB6" s="3">
        <v>152.28333333333333</v>
      </c>
      <c r="CC6" s="3">
        <v>146.88</v>
      </c>
      <c r="CD6" s="3">
        <v>154.4</v>
      </c>
      <c r="CF6" s="3" t="s">
        <v>91</v>
      </c>
      <c r="CG6" s="18">
        <f t="shared" si="4"/>
        <v>0</v>
      </c>
      <c r="CH6" s="18">
        <f t="shared" si="5"/>
        <v>0</v>
      </c>
      <c r="CI6" s="18">
        <f t="shared" si="6"/>
        <v>0</v>
      </c>
    </row>
    <row r="7" spans="1:98" x14ac:dyDescent="0.3">
      <c r="A7" t="s">
        <v>7</v>
      </c>
      <c r="B7" t="s">
        <v>48</v>
      </c>
      <c r="C7">
        <v>120.7</v>
      </c>
      <c r="D7">
        <v>120.4</v>
      </c>
      <c r="E7">
        <v>120.7</v>
      </c>
      <c r="F7">
        <v>121</v>
      </c>
      <c r="G7">
        <v>121</v>
      </c>
      <c r="H7">
        <v>121.3</v>
      </c>
      <c r="I7">
        <v>121.4</v>
      </c>
      <c r="J7">
        <v>122.2</v>
      </c>
      <c r="K7">
        <v>122.1</v>
      </c>
      <c r="L7">
        <v>121.1</v>
      </c>
      <c r="M7">
        <v>121.1</v>
      </c>
      <c r="N7">
        <v>122</v>
      </c>
      <c r="O7">
        <v>121.8</v>
      </c>
      <c r="P7">
        <v>122</v>
      </c>
      <c r="Q7">
        <v>122</v>
      </c>
      <c r="R7">
        <v>122</v>
      </c>
      <c r="S7">
        <v>122.2</v>
      </c>
      <c r="T7">
        <v>122.5</v>
      </c>
      <c r="U7">
        <v>122.9</v>
      </c>
      <c r="V7">
        <v>123.5</v>
      </c>
      <c r="W7">
        <v>123.9</v>
      </c>
      <c r="X7">
        <v>124.3</v>
      </c>
      <c r="Y7">
        <v>125.7</v>
      </c>
      <c r="Z7">
        <v>129.9</v>
      </c>
      <c r="AA7">
        <v>131.4</v>
      </c>
      <c r="AB7">
        <v>131.19999999999999</v>
      </c>
      <c r="AC7">
        <v>135.1</v>
      </c>
      <c r="AD7">
        <v>135.69999999999999</v>
      </c>
      <c r="AE7">
        <v>136.30000000000001</v>
      </c>
      <c r="AF7">
        <v>136.30000000000001</v>
      </c>
      <c r="AG7">
        <v>137.4</v>
      </c>
      <c r="AH7">
        <v>138.19999999999999</v>
      </c>
      <c r="AI7">
        <v>140.1</v>
      </c>
      <c r="AJ7">
        <v>142.69999999999999</v>
      </c>
      <c r="AK7">
        <v>146.6</v>
      </c>
      <c r="AL7">
        <v>150.9</v>
      </c>
      <c r="AM7">
        <v>158.69999999999999</v>
      </c>
      <c r="AN7">
        <v>163.9</v>
      </c>
      <c r="AO7">
        <v>170.1</v>
      </c>
      <c r="AP7">
        <v>178.7</v>
      </c>
      <c r="AQ7">
        <v>183.7</v>
      </c>
      <c r="AR7">
        <v>182.1</v>
      </c>
      <c r="AS7">
        <v>188</v>
      </c>
      <c r="AT7">
        <v>188</v>
      </c>
      <c r="AU7">
        <v>190.6</v>
      </c>
      <c r="AV7">
        <v>190.1</v>
      </c>
      <c r="AW7">
        <v>187.6</v>
      </c>
      <c r="AX7">
        <v>184.7</v>
      </c>
      <c r="AY7">
        <v>184.9</v>
      </c>
      <c r="AZ7">
        <v>194.6</v>
      </c>
      <c r="BA7">
        <v>199.5</v>
      </c>
      <c r="BB7">
        <v>202.4</v>
      </c>
      <c r="BC7">
        <v>200.9</v>
      </c>
      <c r="BD7">
        <v>195.8</v>
      </c>
      <c r="BE7">
        <v>192.4</v>
      </c>
      <c r="BF7">
        <v>188.7</v>
      </c>
      <c r="BG7">
        <v>186.5</v>
      </c>
      <c r="BH7">
        <v>188.9</v>
      </c>
      <c r="BI7">
        <v>188.5</v>
      </c>
      <c r="BJ7">
        <v>187.2</v>
      </c>
      <c r="BK7">
        <v>179.3</v>
      </c>
      <c r="BL7">
        <v>179.2</v>
      </c>
      <c r="BM7">
        <v>174.9</v>
      </c>
      <c r="BN7">
        <v>170</v>
      </c>
      <c r="BQ7" s="3" t="s">
        <v>65</v>
      </c>
      <c r="BR7" s="3">
        <v>136.98333333333335</v>
      </c>
      <c r="BS7" s="3">
        <v>137</v>
      </c>
      <c r="BT7" s="3">
        <v>136.19999999999999</v>
      </c>
      <c r="BV7" s="3" t="s">
        <v>65</v>
      </c>
      <c r="BW7" s="18">
        <f t="shared" si="2"/>
        <v>8.5281305601572609E-3</v>
      </c>
      <c r="BX7" s="18">
        <f t="shared" si="3"/>
        <v>3.663003663003663E-3</v>
      </c>
      <c r="BY7" s="18">
        <f t="shared" si="0"/>
        <v>1.4705882352940341E-3</v>
      </c>
      <c r="BZ7" s="3"/>
      <c r="CA7" s="3" t="s">
        <v>92</v>
      </c>
      <c r="CB7" s="3">
        <v>154.54999999999998</v>
      </c>
      <c r="CC7" s="3">
        <v>148.78</v>
      </c>
      <c r="CD7" s="3">
        <v>155</v>
      </c>
      <c r="CF7" s="3" t="s">
        <v>92</v>
      </c>
      <c r="CG7" s="18">
        <f t="shared" si="4"/>
        <v>1.4884535405494045E-2</v>
      </c>
      <c r="CH7" s="18">
        <f t="shared" si="5"/>
        <v>1.2935729847494592E-2</v>
      </c>
      <c r="CI7" s="18">
        <f t="shared" si="6"/>
        <v>3.8860103626942636E-3</v>
      </c>
    </row>
    <row r="8" spans="1:98" x14ac:dyDescent="0.3">
      <c r="A8" t="s">
        <v>8</v>
      </c>
      <c r="B8" t="s">
        <v>48</v>
      </c>
      <c r="C8">
        <v>141.30000000000001</v>
      </c>
      <c r="D8">
        <v>142.9</v>
      </c>
      <c r="E8">
        <v>146.19999999999999</v>
      </c>
      <c r="F8">
        <v>153.5</v>
      </c>
      <c r="G8">
        <v>154.6</v>
      </c>
      <c r="H8">
        <v>153.19999999999999</v>
      </c>
      <c r="I8">
        <v>151.6</v>
      </c>
      <c r="J8">
        <v>150.6</v>
      </c>
      <c r="K8">
        <v>145.4</v>
      </c>
      <c r="L8">
        <v>142.5</v>
      </c>
      <c r="M8">
        <v>142.80000000000001</v>
      </c>
      <c r="N8">
        <v>139.4</v>
      </c>
      <c r="O8">
        <v>135.4</v>
      </c>
      <c r="P8">
        <v>136.4</v>
      </c>
      <c r="Q8">
        <v>137.6</v>
      </c>
      <c r="R8">
        <v>146.5</v>
      </c>
      <c r="S8">
        <v>146.80000000000001</v>
      </c>
      <c r="T8">
        <v>150.30000000000001</v>
      </c>
      <c r="U8">
        <v>149.4</v>
      </c>
      <c r="V8">
        <v>146.6</v>
      </c>
      <c r="W8">
        <v>148</v>
      </c>
      <c r="X8">
        <v>147.4</v>
      </c>
      <c r="Y8">
        <v>145.69999999999999</v>
      </c>
      <c r="Z8">
        <v>143.19999999999999</v>
      </c>
      <c r="AA8">
        <v>141.80000000000001</v>
      </c>
      <c r="AB8">
        <v>142.5</v>
      </c>
      <c r="AC8">
        <v>149.9</v>
      </c>
      <c r="AD8">
        <v>148.55000000000001</v>
      </c>
      <c r="AE8">
        <v>147.19999999999999</v>
      </c>
      <c r="AF8">
        <v>147.19999999999999</v>
      </c>
      <c r="AG8">
        <v>150.4</v>
      </c>
      <c r="AH8">
        <v>150.9</v>
      </c>
      <c r="AI8">
        <v>151.19999999999999</v>
      </c>
      <c r="AJ8">
        <v>148.4</v>
      </c>
      <c r="AK8">
        <v>147.69999999999999</v>
      </c>
      <c r="AL8">
        <v>149.6</v>
      </c>
      <c r="AM8">
        <v>150.69999999999999</v>
      </c>
      <c r="AN8">
        <v>153.69999999999999</v>
      </c>
      <c r="AO8">
        <v>164.4</v>
      </c>
      <c r="AP8">
        <v>167.1</v>
      </c>
      <c r="AQ8">
        <v>164.6</v>
      </c>
      <c r="AR8">
        <v>163.9</v>
      </c>
      <c r="AS8">
        <v>156.80000000000001</v>
      </c>
      <c r="AT8">
        <v>156.69999999999999</v>
      </c>
      <c r="AU8">
        <v>155.69999999999999</v>
      </c>
      <c r="AV8">
        <v>156.5</v>
      </c>
      <c r="AW8">
        <v>154.9</v>
      </c>
      <c r="AX8">
        <v>153.69999999999999</v>
      </c>
      <c r="AY8">
        <v>153.69999999999999</v>
      </c>
      <c r="AZ8">
        <v>157.6</v>
      </c>
      <c r="BA8">
        <v>172.6</v>
      </c>
      <c r="BB8">
        <v>171</v>
      </c>
      <c r="BC8">
        <v>169.7</v>
      </c>
      <c r="BD8">
        <v>174.2</v>
      </c>
      <c r="BE8">
        <v>172.9</v>
      </c>
      <c r="BF8">
        <v>165.7</v>
      </c>
      <c r="BG8">
        <v>163.80000000000001</v>
      </c>
      <c r="BH8">
        <v>160.69999999999999</v>
      </c>
      <c r="BI8">
        <v>158</v>
      </c>
      <c r="BJ8">
        <v>158.30000000000001</v>
      </c>
      <c r="BK8">
        <v>169.5</v>
      </c>
      <c r="BL8">
        <v>169.5</v>
      </c>
      <c r="BM8">
        <v>176.3</v>
      </c>
      <c r="BN8">
        <v>172.2</v>
      </c>
      <c r="BQ8" s="3" t="s">
        <v>66</v>
      </c>
      <c r="BR8" s="3">
        <v>138.75</v>
      </c>
      <c r="BS8" s="3">
        <v>138.04000000000002</v>
      </c>
      <c r="BT8" s="3">
        <v>137</v>
      </c>
      <c r="BV8" s="3" t="s">
        <v>66</v>
      </c>
      <c r="BW8" s="18">
        <f t="shared" si="2"/>
        <v>1.2896946100498732E-2</v>
      </c>
      <c r="BX8" s="18">
        <f t="shared" si="3"/>
        <v>7.5912408759125577E-3</v>
      </c>
      <c r="BY8" s="18">
        <f t="shared" si="0"/>
        <v>5.8737151248165302E-3</v>
      </c>
      <c r="BZ8" s="3"/>
      <c r="CA8" s="3" t="s">
        <v>93</v>
      </c>
      <c r="CB8" s="3">
        <v>155.4</v>
      </c>
      <c r="CC8" s="3">
        <v>149</v>
      </c>
      <c r="CD8" s="3">
        <v>155.6</v>
      </c>
      <c r="CF8" s="3" t="s">
        <v>93</v>
      </c>
      <c r="CG8" s="18">
        <f t="shared" si="4"/>
        <v>5.4998382400519106E-3</v>
      </c>
      <c r="CH8" s="18">
        <f t="shared" si="5"/>
        <v>1.4786933727651489E-3</v>
      </c>
      <c r="CI8" s="18">
        <f t="shared" si="6"/>
        <v>3.870967741935447E-3</v>
      </c>
    </row>
    <row r="9" spans="1:98" x14ac:dyDescent="0.3">
      <c r="A9" t="s">
        <v>9</v>
      </c>
      <c r="B9" t="s">
        <v>48</v>
      </c>
      <c r="C9">
        <v>151.6</v>
      </c>
      <c r="D9">
        <v>140.5</v>
      </c>
      <c r="E9">
        <v>134.6</v>
      </c>
      <c r="F9">
        <v>132.6</v>
      </c>
      <c r="G9">
        <v>135.6</v>
      </c>
      <c r="H9">
        <v>143.69999999999999</v>
      </c>
      <c r="I9">
        <v>155.9</v>
      </c>
      <c r="J9">
        <v>156.6</v>
      </c>
      <c r="K9">
        <v>150</v>
      </c>
      <c r="L9">
        <v>146.69999999999999</v>
      </c>
      <c r="M9">
        <v>146.69999999999999</v>
      </c>
      <c r="N9">
        <v>135.19999999999999</v>
      </c>
      <c r="O9">
        <v>131.30000000000001</v>
      </c>
      <c r="P9">
        <v>129.69999999999999</v>
      </c>
      <c r="Q9">
        <v>132.6</v>
      </c>
      <c r="R9">
        <v>143</v>
      </c>
      <c r="S9">
        <v>150.5</v>
      </c>
      <c r="T9">
        <v>160.30000000000001</v>
      </c>
      <c r="U9">
        <v>167.4</v>
      </c>
      <c r="V9">
        <v>173.2</v>
      </c>
      <c r="W9">
        <v>188.4</v>
      </c>
      <c r="X9">
        <v>199.6</v>
      </c>
      <c r="Y9">
        <v>217</v>
      </c>
      <c r="Z9">
        <v>197</v>
      </c>
      <c r="AA9">
        <v>170.7</v>
      </c>
      <c r="AB9">
        <v>157.30000000000001</v>
      </c>
      <c r="AC9">
        <v>168.6</v>
      </c>
      <c r="AD9">
        <v>162.55000000000001</v>
      </c>
      <c r="AE9">
        <v>156.5</v>
      </c>
      <c r="AF9">
        <v>156.5</v>
      </c>
      <c r="AG9">
        <v>178.1</v>
      </c>
      <c r="AH9">
        <v>186.7</v>
      </c>
      <c r="AI9">
        <v>209.2</v>
      </c>
      <c r="AJ9">
        <v>230</v>
      </c>
      <c r="AK9">
        <v>230.5</v>
      </c>
      <c r="AL9">
        <v>194.2</v>
      </c>
      <c r="AM9">
        <v>160</v>
      </c>
      <c r="AN9">
        <v>149.5</v>
      </c>
      <c r="AO9">
        <v>144.1</v>
      </c>
      <c r="AP9">
        <v>147.9</v>
      </c>
      <c r="AQ9">
        <v>155.4</v>
      </c>
      <c r="AR9">
        <v>164.2</v>
      </c>
      <c r="AS9">
        <v>162.19999999999999</v>
      </c>
      <c r="AT9">
        <v>162.30000000000001</v>
      </c>
      <c r="AU9">
        <v>185.3</v>
      </c>
      <c r="AV9">
        <v>199.2</v>
      </c>
      <c r="AW9">
        <v>188.3</v>
      </c>
      <c r="AX9">
        <v>174.3</v>
      </c>
      <c r="AY9">
        <v>169.7</v>
      </c>
      <c r="AZ9">
        <v>166.9</v>
      </c>
      <c r="BA9">
        <v>166.2</v>
      </c>
      <c r="BB9">
        <v>174.9</v>
      </c>
      <c r="BC9">
        <v>182.3</v>
      </c>
      <c r="BD9">
        <v>182.1</v>
      </c>
      <c r="BE9">
        <v>186.7</v>
      </c>
      <c r="BF9">
        <v>191.8</v>
      </c>
      <c r="BG9">
        <v>199.7</v>
      </c>
      <c r="BH9">
        <v>183.1</v>
      </c>
      <c r="BI9">
        <v>159.9</v>
      </c>
      <c r="BJ9">
        <v>153.9</v>
      </c>
      <c r="BK9">
        <v>152.69999999999999</v>
      </c>
      <c r="BL9">
        <v>152.80000000000001</v>
      </c>
      <c r="BM9">
        <v>155.4</v>
      </c>
      <c r="BN9">
        <v>161</v>
      </c>
      <c r="BQ9" s="3" t="s">
        <v>67</v>
      </c>
      <c r="BR9" s="3">
        <v>138.9666666666667</v>
      </c>
      <c r="BS9" s="3">
        <v>139.04</v>
      </c>
      <c r="BT9" s="3">
        <v>137.69999999999999</v>
      </c>
      <c r="BV9" s="3" t="s">
        <v>67</v>
      </c>
      <c r="BW9" s="18">
        <f t="shared" si="2"/>
        <v>1.5615615615617801E-3</v>
      </c>
      <c r="BX9" s="18">
        <f t="shared" si="3"/>
        <v>7.2442770211530822E-3</v>
      </c>
      <c r="BY9" s="18">
        <f t="shared" si="0"/>
        <v>5.1094890510948072E-3</v>
      </c>
      <c r="BZ9" s="3"/>
      <c r="CA9" s="3" t="s">
        <v>94</v>
      </c>
      <c r="CB9" s="3">
        <v>158.7166666666667</v>
      </c>
      <c r="CC9" s="3">
        <v>149.47999999999999</v>
      </c>
      <c r="CD9" s="3">
        <v>156.30000000000001</v>
      </c>
      <c r="CF9" s="3" t="s">
        <v>94</v>
      </c>
      <c r="CG9" s="18">
        <f t="shared" si="4"/>
        <v>2.1342771342771502E-2</v>
      </c>
      <c r="CH9" s="18">
        <f t="shared" si="5"/>
        <v>3.2214765100670455E-3</v>
      </c>
      <c r="CI9" s="18">
        <f t="shared" si="6"/>
        <v>4.4987146529564077E-3</v>
      </c>
    </row>
    <row r="10" spans="1:98" x14ac:dyDescent="0.3">
      <c r="A10" t="s">
        <v>10</v>
      </c>
      <c r="B10" t="s">
        <v>48</v>
      </c>
      <c r="C10">
        <v>127.3</v>
      </c>
      <c r="D10">
        <v>125.8</v>
      </c>
      <c r="E10">
        <v>124.6</v>
      </c>
      <c r="F10">
        <v>123.5</v>
      </c>
      <c r="G10">
        <v>122.3</v>
      </c>
      <c r="H10">
        <v>121.4</v>
      </c>
      <c r="I10">
        <v>121.7</v>
      </c>
      <c r="J10">
        <v>122.4</v>
      </c>
      <c r="K10">
        <v>121.4</v>
      </c>
      <c r="L10">
        <v>119.1</v>
      </c>
      <c r="M10">
        <v>119.1</v>
      </c>
      <c r="N10">
        <v>119.8</v>
      </c>
      <c r="O10">
        <v>120.3</v>
      </c>
      <c r="P10">
        <v>121</v>
      </c>
      <c r="Q10">
        <v>121.8</v>
      </c>
      <c r="R10">
        <v>124.9</v>
      </c>
      <c r="S10">
        <v>128.30000000000001</v>
      </c>
      <c r="T10">
        <v>130</v>
      </c>
      <c r="U10">
        <v>130.9</v>
      </c>
      <c r="V10">
        <v>131.6</v>
      </c>
      <c r="W10">
        <v>132.5</v>
      </c>
      <c r="X10">
        <v>135.69999999999999</v>
      </c>
      <c r="Y10">
        <v>138.30000000000001</v>
      </c>
      <c r="Z10">
        <v>140.4</v>
      </c>
      <c r="AA10">
        <v>141.1</v>
      </c>
      <c r="AB10">
        <v>141.1</v>
      </c>
      <c r="AC10">
        <v>150.4</v>
      </c>
      <c r="AD10">
        <v>150.65</v>
      </c>
      <c r="AE10">
        <v>150.9</v>
      </c>
      <c r="AF10">
        <v>150.9</v>
      </c>
      <c r="AG10">
        <v>150.4</v>
      </c>
      <c r="AH10">
        <v>149.80000000000001</v>
      </c>
      <c r="AI10">
        <v>150.9</v>
      </c>
      <c r="AJ10">
        <v>156.80000000000001</v>
      </c>
      <c r="AK10">
        <v>160.19999999999999</v>
      </c>
      <c r="AL10">
        <v>160.4</v>
      </c>
      <c r="AM10">
        <v>158.80000000000001</v>
      </c>
      <c r="AN10">
        <v>159.80000000000001</v>
      </c>
      <c r="AO10">
        <v>161.69999999999999</v>
      </c>
      <c r="AP10">
        <v>165.4</v>
      </c>
      <c r="AQ10">
        <v>166</v>
      </c>
      <c r="AR10">
        <v>164</v>
      </c>
      <c r="AS10">
        <v>164.1</v>
      </c>
      <c r="AT10">
        <v>164.1</v>
      </c>
      <c r="AU10">
        <v>165.2</v>
      </c>
      <c r="AV10">
        <v>165.3</v>
      </c>
      <c r="AW10">
        <v>164.4</v>
      </c>
      <c r="AX10">
        <v>163.9</v>
      </c>
      <c r="AY10">
        <v>163.69999999999999</v>
      </c>
      <c r="AZ10">
        <v>163.9</v>
      </c>
      <c r="BA10">
        <v>164.7</v>
      </c>
      <c r="BB10">
        <v>164.7</v>
      </c>
      <c r="BC10">
        <v>164.3</v>
      </c>
      <c r="BD10">
        <v>164.3</v>
      </c>
      <c r="BE10">
        <v>167.2</v>
      </c>
      <c r="BF10">
        <v>169.1</v>
      </c>
      <c r="BG10">
        <v>169.8</v>
      </c>
      <c r="BH10">
        <v>170.5</v>
      </c>
      <c r="BI10">
        <v>170.8</v>
      </c>
      <c r="BJ10">
        <v>170.9</v>
      </c>
      <c r="BK10">
        <v>171</v>
      </c>
      <c r="BL10">
        <v>171.1</v>
      </c>
      <c r="BM10">
        <v>173.4</v>
      </c>
      <c r="BN10">
        <v>175.6</v>
      </c>
      <c r="BQ10" s="3" t="s">
        <v>68</v>
      </c>
      <c r="BR10" s="3">
        <v>137.39166666666668</v>
      </c>
      <c r="BS10" s="3">
        <v>139.9</v>
      </c>
      <c r="BT10" s="3">
        <v>138.4</v>
      </c>
      <c r="BV10" s="3" t="s">
        <v>68</v>
      </c>
      <c r="BW10" s="18">
        <f t="shared" si="2"/>
        <v>-1.133365315423375E-2</v>
      </c>
      <c r="BX10" s="18">
        <f t="shared" si="3"/>
        <v>6.1852704257768535E-3</v>
      </c>
      <c r="BY10" s="18">
        <f t="shared" si="0"/>
        <v>5.0835148874365807E-3</v>
      </c>
      <c r="BZ10" s="3"/>
      <c r="CA10" s="3" t="s">
        <v>95</v>
      </c>
      <c r="CB10" s="3">
        <v>162.42500000000001</v>
      </c>
      <c r="CC10" s="3">
        <v>149.96</v>
      </c>
      <c r="CD10" s="3">
        <v>157.19999999999999</v>
      </c>
      <c r="CF10" s="3" t="s">
        <v>95</v>
      </c>
      <c r="CG10" s="18">
        <f t="shared" si="4"/>
        <v>2.3364485981308289E-2</v>
      </c>
      <c r="CH10" s="18">
        <f t="shared" si="5"/>
        <v>3.2111319240033329E-3</v>
      </c>
      <c r="CI10" s="18">
        <f t="shared" si="6"/>
        <v>5.7581573896351712E-3</v>
      </c>
    </row>
    <row r="11" spans="1:98" x14ac:dyDescent="0.3">
      <c r="A11" t="s">
        <v>11</v>
      </c>
      <c r="B11" t="s">
        <v>48</v>
      </c>
      <c r="C11">
        <v>118.8</v>
      </c>
      <c r="D11">
        <v>117.1</v>
      </c>
      <c r="E11">
        <v>116.1</v>
      </c>
      <c r="F11">
        <v>113.7</v>
      </c>
      <c r="G11">
        <v>109.6</v>
      </c>
      <c r="H11">
        <v>111.1</v>
      </c>
      <c r="I11">
        <v>113.5</v>
      </c>
      <c r="J11">
        <v>114.7</v>
      </c>
      <c r="K11">
        <v>113.7</v>
      </c>
      <c r="L11">
        <v>111.9</v>
      </c>
      <c r="M11">
        <v>111.9</v>
      </c>
      <c r="N11">
        <v>110.3</v>
      </c>
      <c r="O11">
        <v>109.1</v>
      </c>
      <c r="P11">
        <v>109</v>
      </c>
      <c r="Q11">
        <v>109</v>
      </c>
      <c r="R11">
        <v>109.9</v>
      </c>
      <c r="S11">
        <v>111</v>
      </c>
      <c r="T11">
        <v>111.1</v>
      </c>
      <c r="U11">
        <v>112</v>
      </c>
      <c r="V11">
        <v>113.2</v>
      </c>
      <c r="W11">
        <v>114</v>
      </c>
      <c r="X11">
        <v>114.2</v>
      </c>
      <c r="Y11">
        <v>114</v>
      </c>
      <c r="Z11">
        <v>114.1</v>
      </c>
      <c r="AA11">
        <v>113.6</v>
      </c>
      <c r="AB11">
        <v>113.2</v>
      </c>
      <c r="AC11">
        <v>120.3</v>
      </c>
      <c r="AD11">
        <v>117.25</v>
      </c>
      <c r="AE11">
        <v>114.2</v>
      </c>
      <c r="AF11">
        <v>114.2</v>
      </c>
      <c r="AG11">
        <v>115.1</v>
      </c>
      <c r="AH11">
        <v>116.4</v>
      </c>
      <c r="AI11">
        <v>116.2</v>
      </c>
      <c r="AJ11">
        <v>115.7</v>
      </c>
      <c r="AK11">
        <v>115.3</v>
      </c>
      <c r="AL11">
        <v>114.6</v>
      </c>
      <c r="AM11">
        <v>112.8</v>
      </c>
      <c r="AN11">
        <v>112.6</v>
      </c>
      <c r="AO11">
        <v>113.1</v>
      </c>
      <c r="AP11">
        <v>114.8</v>
      </c>
      <c r="AQ11">
        <v>115.1</v>
      </c>
      <c r="AR11">
        <v>114.5</v>
      </c>
      <c r="AS11">
        <v>119.7</v>
      </c>
      <c r="AT11">
        <v>119.7</v>
      </c>
      <c r="AU11">
        <v>121.9</v>
      </c>
      <c r="AV11">
        <v>122.4</v>
      </c>
      <c r="AW11">
        <v>121</v>
      </c>
      <c r="AX11">
        <v>120</v>
      </c>
      <c r="AY11">
        <v>118.9</v>
      </c>
      <c r="AZ11">
        <v>118.8</v>
      </c>
      <c r="BA11">
        <v>119</v>
      </c>
      <c r="BB11">
        <v>119.7</v>
      </c>
      <c r="BC11">
        <v>119.9</v>
      </c>
      <c r="BD11">
        <v>120</v>
      </c>
      <c r="BE11">
        <v>120.9</v>
      </c>
      <c r="BF11">
        <v>121.6</v>
      </c>
      <c r="BG11">
        <v>121.9</v>
      </c>
      <c r="BH11">
        <v>122.1</v>
      </c>
      <c r="BI11">
        <v>121.8</v>
      </c>
      <c r="BJ11">
        <v>121.1</v>
      </c>
      <c r="BK11">
        <v>120</v>
      </c>
      <c r="BL11">
        <v>120</v>
      </c>
      <c r="BM11">
        <v>121.3</v>
      </c>
      <c r="BN11">
        <v>122.7</v>
      </c>
      <c r="BQ11" s="3" t="s">
        <v>69</v>
      </c>
      <c r="BR11" s="3">
        <v>136.88333333333335</v>
      </c>
      <c r="BS11" s="3">
        <v>141.54000000000002</v>
      </c>
      <c r="BT11" s="3">
        <v>142.1</v>
      </c>
      <c r="BV11" s="3" t="s">
        <v>69</v>
      </c>
      <c r="BW11" s="18">
        <f t="shared" si="2"/>
        <v>-3.6998847576878197E-3</v>
      </c>
      <c r="BX11" s="18">
        <f t="shared" si="3"/>
        <v>1.1722659042173086E-2</v>
      </c>
      <c r="BY11" s="18">
        <f t="shared" si="0"/>
        <v>2.6734104046242692E-2</v>
      </c>
      <c r="BZ11" s="3"/>
      <c r="CA11" s="3" t="s">
        <v>96</v>
      </c>
      <c r="CB11" s="3">
        <v>163.32500000000002</v>
      </c>
      <c r="CC11" s="3">
        <v>150.56</v>
      </c>
      <c r="CD11" s="3">
        <v>158.30000000000001</v>
      </c>
      <c r="CF11" s="3" t="s">
        <v>96</v>
      </c>
      <c r="CG11" s="18">
        <f t="shared" si="4"/>
        <v>5.5410189318147183E-3</v>
      </c>
      <c r="CH11" s="18">
        <f t="shared" si="5"/>
        <v>4.0010669511869454E-3</v>
      </c>
      <c r="CI11" s="18">
        <f t="shared" si="6"/>
        <v>6.9974554707380584E-3</v>
      </c>
    </row>
    <row r="12" spans="1:98" x14ac:dyDescent="0.3">
      <c r="A12" t="s">
        <v>12</v>
      </c>
      <c r="B12" t="s">
        <v>48</v>
      </c>
      <c r="C12">
        <v>137.5</v>
      </c>
      <c r="D12">
        <v>137.30000000000001</v>
      </c>
      <c r="E12">
        <v>137.80000000000001</v>
      </c>
      <c r="F12">
        <v>138.19999999999999</v>
      </c>
      <c r="G12">
        <v>138.1</v>
      </c>
      <c r="H12">
        <v>138.4</v>
      </c>
      <c r="I12">
        <v>138.9</v>
      </c>
      <c r="J12">
        <v>139.4</v>
      </c>
      <c r="K12">
        <v>139.5</v>
      </c>
      <c r="L12">
        <v>141</v>
      </c>
      <c r="M12">
        <v>140.9</v>
      </c>
      <c r="N12">
        <v>140.6</v>
      </c>
      <c r="O12">
        <v>139.4</v>
      </c>
      <c r="P12">
        <v>139.69999999999999</v>
      </c>
      <c r="Q12">
        <v>139.5</v>
      </c>
      <c r="R12">
        <v>139.9</v>
      </c>
      <c r="S12">
        <v>140.6</v>
      </c>
      <c r="T12">
        <v>141.69999999999999</v>
      </c>
      <c r="U12">
        <v>142.6</v>
      </c>
      <c r="V12">
        <v>144.1</v>
      </c>
      <c r="W12">
        <v>145.4</v>
      </c>
      <c r="X12">
        <v>147</v>
      </c>
      <c r="Y12">
        <v>148.69999999999999</v>
      </c>
      <c r="Z12">
        <v>150.9</v>
      </c>
      <c r="AA12">
        <v>152</v>
      </c>
      <c r="AB12">
        <v>153.19999999999999</v>
      </c>
      <c r="AC12">
        <v>157.1</v>
      </c>
      <c r="AD12">
        <v>158.30000000000001</v>
      </c>
      <c r="AE12">
        <v>159.5</v>
      </c>
      <c r="AF12">
        <v>159.5</v>
      </c>
      <c r="AG12">
        <v>160</v>
      </c>
      <c r="AH12">
        <v>160.30000000000001</v>
      </c>
      <c r="AI12">
        <v>161</v>
      </c>
      <c r="AJ12">
        <v>161.80000000000001</v>
      </c>
      <c r="AK12">
        <v>163</v>
      </c>
      <c r="AL12">
        <v>164</v>
      </c>
      <c r="AM12">
        <v>164.2</v>
      </c>
      <c r="AN12">
        <v>163.5</v>
      </c>
      <c r="AO12">
        <v>163.9</v>
      </c>
      <c r="AP12">
        <v>168.2</v>
      </c>
      <c r="AQ12">
        <v>168.5</v>
      </c>
      <c r="AR12">
        <v>168.3</v>
      </c>
      <c r="AS12">
        <v>168.8</v>
      </c>
      <c r="AT12">
        <v>168.8</v>
      </c>
      <c r="AU12">
        <v>169.3</v>
      </c>
      <c r="AV12">
        <v>169.6</v>
      </c>
      <c r="AW12">
        <v>170.5</v>
      </c>
      <c r="AX12">
        <v>172.1</v>
      </c>
      <c r="AY12">
        <v>174.3</v>
      </c>
      <c r="AZ12">
        <v>177.4</v>
      </c>
      <c r="BA12">
        <v>181.3</v>
      </c>
      <c r="BB12">
        <v>184.9</v>
      </c>
      <c r="BC12">
        <v>187.1</v>
      </c>
      <c r="BD12">
        <v>190</v>
      </c>
      <c r="BE12">
        <v>193.6</v>
      </c>
      <c r="BF12">
        <v>197.3</v>
      </c>
      <c r="BG12">
        <v>199.9</v>
      </c>
      <c r="BH12">
        <v>202.8</v>
      </c>
      <c r="BI12">
        <v>205.2</v>
      </c>
      <c r="BJ12">
        <v>208.4</v>
      </c>
      <c r="BK12">
        <v>209.7</v>
      </c>
      <c r="BL12">
        <v>209.7</v>
      </c>
      <c r="BM12">
        <v>212.9</v>
      </c>
      <c r="BN12">
        <v>218</v>
      </c>
      <c r="BQ12" s="3" t="s">
        <v>70</v>
      </c>
      <c r="BR12" s="3">
        <v>136.85000000000002</v>
      </c>
      <c r="BS12" s="3">
        <v>141.5</v>
      </c>
      <c r="BT12" s="3">
        <v>142.1</v>
      </c>
      <c r="BV12" s="3" t="s">
        <v>70</v>
      </c>
      <c r="BW12" s="18">
        <f t="shared" si="2"/>
        <v>-2.4351637647630414E-4</v>
      </c>
      <c r="BX12" s="18">
        <f t="shared" si="3"/>
        <v>-2.8260562385205921E-4</v>
      </c>
      <c r="BY12" s="18">
        <f t="shared" si="0"/>
        <v>0</v>
      </c>
      <c r="BZ12" s="3"/>
      <c r="CA12" s="3" t="s">
        <v>97</v>
      </c>
      <c r="CB12" s="3">
        <v>160.39166666666665</v>
      </c>
      <c r="CC12" s="3">
        <v>151.34</v>
      </c>
      <c r="CD12" s="3">
        <v>159.30000000000001</v>
      </c>
      <c r="CF12" s="3" t="s">
        <v>97</v>
      </c>
      <c r="CG12" s="18">
        <f t="shared" si="4"/>
        <v>-1.7960100005102498E-2</v>
      </c>
      <c r="CH12" s="18">
        <f t="shared" si="5"/>
        <v>5.1806588735387963E-3</v>
      </c>
      <c r="CI12" s="18">
        <f t="shared" si="6"/>
        <v>6.3171193935565376E-3</v>
      </c>
    </row>
    <row r="13" spans="1:98" x14ac:dyDescent="0.3">
      <c r="A13" t="s">
        <v>14</v>
      </c>
      <c r="B13" t="s">
        <v>48</v>
      </c>
      <c r="C13">
        <v>149.5</v>
      </c>
      <c r="D13">
        <v>149.6</v>
      </c>
      <c r="E13">
        <v>150.4</v>
      </c>
      <c r="F13">
        <v>151.19999999999999</v>
      </c>
      <c r="G13">
        <v>151.69999999999999</v>
      </c>
      <c r="H13">
        <v>151.80000000000001</v>
      </c>
      <c r="I13">
        <v>152.30000000000001</v>
      </c>
      <c r="J13">
        <v>153</v>
      </c>
      <c r="K13">
        <v>153.80000000000001</v>
      </c>
      <c r="L13">
        <v>154.5</v>
      </c>
      <c r="M13">
        <v>154.5</v>
      </c>
      <c r="N13">
        <v>154.6</v>
      </c>
      <c r="O13">
        <v>154.6</v>
      </c>
      <c r="P13">
        <v>154.9</v>
      </c>
      <c r="Q13">
        <v>155.19999999999999</v>
      </c>
      <c r="R13">
        <v>155.5</v>
      </c>
      <c r="S13">
        <v>155.9</v>
      </c>
      <c r="T13">
        <v>156.19999999999999</v>
      </c>
      <c r="U13">
        <v>156.6</v>
      </c>
      <c r="V13">
        <v>156.80000000000001</v>
      </c>
      <c r="W13">
        <v>157.1</v>
      </c>
      <c r="X13">
        <v>157.5</v>
      </c>
      <c r="Y13">
        <v>158</v>
      </c>
      <c r="Z13">
        <v>158.6</v>
      </c>
      <c r="AA13">
        <v>159.1</v>
      </c>
      <c r="AB13">
        <v>159.6</v>
      </c>
      <c r="AC13" t="s">
        <v>32</v>
      </c>
      <c r="AD13">
        <v>161.06874999999999</v>
      </c>
      <c r="AE13">
        <v>161.80000000000001</v>
      </c>
      <c r="AF13">
        <v>161.80000000000001</v>
      </c>
      <c r="AG13">
        <v>162.30000000000001</v>
      </c>
      <c r="AH13">
        <v>162.9</v>
      </c>
      <c r="AI13">
        <v>163.19999999999999</v>
      </c>
      <c r="AJ13">
        <v>163.80000000000001</v>
      </c>
      <c r="AK13">
        <v>164.8</v>
      </c>
      <c r="AL13">
        <v>165.6</v>
      </c>
      <c r="AM13">
        <v>167.5</v>
      </c>
      <c r="AN13">
        <v>168.2</v>
      </c>
      <c r="AO13">
        <v>168.9</v>
      </c>
      <c r="AP13">
        <v>170.4</v>
      </c>
      <c r="AQ13">
        <v>172.4</v>
      </c>
      <c r="AR13">
        <v>172.2</v>
      </c>
      <c r="AS13">
        <v>173.9</v>
      </c>
      <c r="AT13">
        <v>173.9</v>
      </c>
      <c r="AU13">
        <v>174.7</v>
      </c>
      <c r="AV13">
        <v>175.5</v>
      </c>
      <c r="AW13">
        <v>176.5</v>
      </c>
      <c r="AX13">
        <v>177.3</v>
      </c>
      <c r="AY13">
        <v>178</v>
      </c>
      <c r="AZ13">
        <v>179.3</v>
      </c>
      <c r="BA13">
        <v>180.9</v>
      </c>
      <c r="BB13">
        <v>182.5</v>
      </c>
      <c r="BC13">
        <v>183.9</v>
      </c>
      <c r="BD13">
        <v>185.2</v>
      </c>
      <c r="BE13">
        <v>186.3</v>
      </c>
      <c r="BF13">
        <v>187.4</v>
      </c>
      <c r="BG13">
        <v>188.3</v>
      </c>
      <c r="BH13">
        <v>189.5</v>
      </c>
      <c r="BI13">
        <v>190.3</v>
      </c>
      <c r="BJ13">
        <v>191.2</v>
      </c>
      <c r="BK13">
        <v>193</v>
      </c>
      <c r="BL13">
        <v>193</v>
      </c>
      <c r="BM13">
        <v>193.5</v>
      </c>
      <c r="BN13">
        <v>194.2</v>
      </c>
      <c r="BQ13" s="3" t="s">
        <v>71</v>
      </c>
      <c r="BR13" s="3">
        <v>135.74999999999997</v>
      </c>
      <c r="BS13" s="3">
        <v>141.22</v>
      </c>
      <c r="BT13" s="3">
        <v>144.9</v>
      </c>
      <c r="BV13" s="3" t="s">
        <v>71</v>
      </c>
      <c r="BW13" s="18">
        <f t="shared" si="2"/>
        <v>-8.0379978078191517E-3</v>
      </c>
      <c r="BX13" s="18">
        <f t="shared" si="3"/>
        <v>-1.9787985865724464E-3</v>
      </c>
      <c r="BY13" s="18">
        <f t="shared" si="0"/>
        <v>1.9704433497537026E-2</v>
      </c>
      <c r="BZ13" s="3"/>
      <c r="CA13" s="3" t="s">
        <v>98</v>
      </c>
      <c r="CB13" s="3">
        <v>156.98333333333335</v>
      </c>
      <c r="CC13" s="3">
        <v>153.54000000000002</v>
      </c>
      <c r="CD13" s="3">
        <v>161.30000000000001</v>
      </c>
      <c r="CF13" s="3" t="s">
        <v>98</v>
      </c>
      <c r="CG13" s="18">
        <f t="shared" si="4"/>
        <v>-2.1250064945186074E-2</v>
      </c>
      <c r="CH13" s="18">
        <f t="shared" si="5"/>
        <v>1.4536804546055352E-2</v>
      </c>
      <c r="CI13" s="18">
        <f t="shared" si="6"/>
        <v>1.2554927809165096E-2</v>
      </c>
    </row>
    <row r="14" spans="1:98" x14ac:dyDescent="0.3">
      <c r="A14" t="s">
        <v>15</v>
      </c>
      <c r="B14" t="s">
        <v>48</v>
      </c>
      <c r="C14">
        <v>139.19999999999999</v>
      </c>
      <c r="D14">
        <v>137.6</v>
      </c>
      <c r="E14">
        <v>137.19999999999999</v>
      </c>
      <c r="F14">
        <v>137.5</v>
      </c>
      <c r="G14">
        <v>138.1</v>
      </c>
      <c r="H14">
        <v>139.4</v>
      </c>
      <c r="I14">
        <v>141.4</v>
      </c>
      <c r="J14">
        <v>141.69999999999999</v>
      </c>
      <c r="K14">
        <v>140.4</v>
      </c>
      <c r="L14">
        <v>139.69999999999999</v>
      </c>
      <c r="M14">
        <v>139.69999999999999</v>
      </c>
      <c r="N14">
        <v>138.19999999999999</v>
      </c>
      <c r="O14">
        <v>137.4</v>
      </c>
      <c r="P14">
        <v>137.5</v>
      </c>
      <c r="Q14">
        <v>138.1</v>
      </c>
      <c r="R14">
        <v>140.9</v>
      </c>
      <c r="S14">
        <v>142.69999999999999</v>
      </c>
      <c r="T14">
        <v>144.69999999999999</v>
      </c>
      <c r="U14">
        <v>145.9</v>
      </c>
      <c r="V14">
        <v>147</v>
      </c>
      <c r="W14">
        <v>149.6</v>
      </c>
      <c r="X14">
        <v>151.9</v>
      </c>
      <c r="Y14">
        <v>155</v>
      </c>
      <c r="Z14">
        <v>153.5</v>
      </c>
      <c r="AA14">
        <v>150.5</v>
      </c>
      <c r="AB14">
        <v>148.9</v>
      </c>
      <c r="AC14">
        <v>151.4</v>
      </c>
      <c r="AD14">
        <v>152.69999999999999</v>
      </c>
      <c r="AE14">
        <v>154</v>
      </c>
      <c r="AF14">
        <v>154</v>
      </c>
      <c r="AG14">
        <v>157</v>
      </c>
      <c r="AH14">
        <v>158</v>
      </c>
      <c r="AI14">
        <v>161.4</v>
      </c>
      <c r="AJ14">
        <v>164.7</v>
      </c>
      <c r="AK14">
        <v>165.4</v>
      </c>
      <c r="AL14">
        <v>161</v>
      </c>
      <c r="AM14">
        <v>156.9</v>
      </c>
      <c r="AN14">
        <v>156.69999999999999</v>
      </c>
      <c r="AO14">
        <v>158</v>
      </c>
      <c r="AP14">
        <v>160.69999999999999</v>
      </c>
      <c r="AQ14">
        <v>162.6</v>
      </c>
      <c r="AR14">
        <v>164</v>
      </c>
      <c r="AS14">
        <v>164</v>
      </c>
      <c r="AT14">
        <v>164</v>
      </c>
      <c r="AU14">
        <v>167.7</v>
      </c>
      <c r="AV14">
        <v>169.7</v>
      </c>
      <c r="AW14">
        <v>168.2</v>
      </c>
      <c r="AX14">
        <v>166.4</v>
      </c>
      <c r="AY14">
        <v>166.2</v>
      </c>
      <c r="AZ14">
        <v>168.4</v>
      </c>
      <c r="BA14">
        <v>170.8</v>
      </c>
      <c r="BB14">
        <v>173.3</v>
      </c>
      <c r="BC14">
        <v>174.9</v>
      </c>
      <c r="BD14">
        <v>175</v>
      </c>
      <c r="BE14">
        <v>176.3</v>
      </c>
      <c r="BF14">
        <v>177.8</v>
      </c>
      <c r="BG14">
        <v>179.6</v>
      </c>
      <c r="BH14">
        <v>178.3</v>
      </c>
      <c r="BI14">
        <v>175.9</v>
      </c>
      <c r="BJ14">
        <v>176.7</v>
      </c>
      <c r="BK14">
        <v>177</v>
      </c>
      <c r="BL14">
        <v>177</v>
      </c>
      <c r="BM14">
        <v>177.9</v>
      </c>
      <c r="BN14">
        <v>179.1</v>
      </c>
      <c r="BQ14" s="3" t="s">
        <v>72</v>
      </c>
      <c r="BR14" s="3">
        <v>135.00833333333333</v>
      </c>
      <c r="BS14" s="3">
        <v>140.85999999999999</v>
      </c>
      <c r="BT14" s="3">
        <v>145.1</v>
      </c>
      <c r="BV14" s="3" t="s">
        <v>72</v>
      </c>
      <c r="BW14" s="18">
        <f t="shared" si="2"/>
        <v>-5.4634745242478529E-3</v>
      </c>
      <c r="BX14" s="18">
        <f t="shared" si="3"/>
        <v>-2.5492139923524548E-3</v>
      </c>
      <c r="BY14" s="18">
        <f t="shared" si="0"/>
        <v>1.3802622498273887E-3</v>
      </c>
      <c r="BZ14" s="3"/>
      <c r="CA14" s="3" t="s">
        <v>99</v>
      </c>
      <c r="CB14" s="3">
        <v>156.90833333333333</v>
      </c>
      <c r="CC14" s="3">
        <v>154.6</v>
      </c>
      <c r="CD14" s="3">
        <v>161.69999999999999</v>
      </c>
      <c r="CF14" s="3" t="s">
        <v>99</v>
      </c>
      <c r="CG14" s="18">
        <f t="shared" si="4"/>
        <v>-4.777577237499759E-4</v>
      </c>
      <c r="CH14" s="18">
        <f t="shared" si="5"/>
        <v>6.903738439494423E-3</v>
      </c>
      <c r="CI14" s="18">
        <f t="shared" si="6"/>
        <v>2.4798512089273233E-3</v>
      </c>
    </row>
    <row r="15" spans="1:98" x14ac:dyDescent="0.3">
      <c r="A15" t="s">
        <v>20</v>
      </c>
      <c r="B15" t="s">
        <v>61</v>
      </c>
      <c r="C15">
        <v>140.4</v>
      </c>
      <c r="D15">
        <v>141.30000000000001</v>
      </c>
      <c r="E15">
        <v>142</v>
      </c>
      <c r="F15">
        <v>142.9</v>
      </c>
      <c r="G15">
        <v>143.19999999999999</v>
      </c>
      <c r="H15">
        <v>142.5</v>
      </c>
      <c r="I15">
        <v>143.6</v>
      </c>
      <c r="J15">
        <v>144.6</v>
      </c>
      <c r="K15">
        <v>145.30000000000001</v>
      </c>
      <c r="L15">
        <v>146.9</v>
      </c>
      <c r="M15">
        <v>146.9</v>
      </c>
      <c r="N15">
        <v>146.5</v>
      </c>
      <c r="O15">
        <v>147.69999999999999</v>
      </c>
      <c r="P15">
        <v>148.5</v>
      </c>
      <c r="Q15">
        <v>149</v>
      </c>
      <c r="R15">
        <v>150.1</v>
      </c>
      <c r="S15">
        <v>149.4</v>
      </c>
      <c r="T15">
        <v>150.6</v>
      </c>
      <c r="U15">
        <v>151.6</v>
      </c>
      <c r="V15">
        <v>152.19999999999999</v>
      </c>
      <c r="W15">
        <v>153</v>
      </c>
      <c r="X15">
        <v>153.5</v>
      </c>
      <c r="Y15">
        <v>152.80000000000001</v>
      </c>
      <c r="Z15">
        <v>153.9</v>
      </c>
      <c r="AA15">
        <v>154.80000000000001</v>
      </c>
      <c r="AB15">
        <v>154.5</v>
      </c>
      <c r="AC15">
        <v>155.6</v>
      </c>
      <c r="AD15">
        <v>155.07499999999999</v>
      </c>
      <c r="AE15">
        <v>154.69999999999999</v>
      </c>
      <c r="AF15">
        <v>154.69999999999999</v>
      </c>
      <c r="AG15">
        <v>155.5</v>
      </c>
      <c r="AH15">
        <v>156.30000000000001</v>
      </c>
      <c r="AI15">
        <v>156.5</v>
      </c>
      <c r="AJ15">
        <v>158</v>
      </c>
      <c r="AK15">
        <v>158.4</v>
      </c>
      <c r="AL15">
        <v>157.69999999999999</v>
      </c>
      <c r="AM15">
        <v>159.80000000000001</v>
      </c>
      <c r="AN15">
        <v>159.9</v>
      </c>
      <c r="AO15">
        <v>161.4</v>
      </c>
      <c r="AP15">
        <v>161.6</v>
      </c>
      <c r="AQ15">
        <v>160.5</v>
      </c>
      <c r="AR15">
        <v>161.5</v>
      </c>
      <c r="AS15">
        <v>162.1</v>
      </c>
      <c r="AT15">
        <v>162.1</v>
      </c>
      <c r="AU15">
        <v>163.6</v>
      </c>
      <c r="AV15">
        <v>164.2</v>
      </c>
      <c r="AW15">
        <v>163.4</v>
      </c>
      <c r="AX15">
        <v>164.5</v>
      </c>
      <c r="AY15">
        <v>165.5</v>
      </c>
      <c r="AZ15">
        <v>165.3</v>
      </c>
      <c r="BA15">
        <v>167</v>
      </c>
      <c r="BB15">
        <v>167.5</v>
      </c>
      <c r="BC15">
        <v>166.8</v>
      </c>
      <c r="BD15">
        <v>167.8</v>
      </c>
      <c r="BE15">
        <v>169</v>
      </c>
      <c r="BF15">
        <v>169.5</v>
      </c>
      <c r="BG15">
        <v>171.2</v>
      </c>
      <c r="BH15">
        <v>171.8</v>
      </c>
      <c r="BI15">
        <v>170.7</v>
      </c>
      <c r="BJ15">
        <v>172.1</v>
      </c>
      <c r="BK15">
        <v>173.5</v>
      </c>
      <c r="BL15">
        <v>173.5</v>
      </c>
      <c r="BM15">
        <v>175.2</v>
      </c>
      <c r="BN15">
        <v>175.6</v>
      </c>
      <c r="BQ15" s="3" t="s">
        <v>73</v>
      </c>
      <c r="BR15" s="3">
        <v>135.29166666666666</v>
      </c>
      <c r="BS15" s="3">
        <v>140.95999999999998</v>
      </c>
      <c r="BT15" s="3">
        <v>145.6</v>
      </c>
      <c r="BV15" s="3" t="s">
        <v>73</v>
      </c>
      <c r="BW15" s="18">
        <f t="shared" si="2"/>
        <v>2.0986358866736483E-3</v>
      </c>
      <c r="BX15" s="18">
        <f t="shared" si="3"/>
        <v>7.0992474797667421E-4</v>
      </c>
      <c r="BY15" s="18">
        <f t="shared" si="0"/>
        <v>3.4458993797381117E-3</v>
      </c>
      <c r="BZ15" s="3"/>
      <c r="CA15" s="3" t="s">
        <v>100</v>
      </c>
      <c r="CB15" s="3">
        <v>158.875</v>
      </c>
      <c r="CC15" s="3">
        <v>155.14000000000001</v>
      </c>
      <c r="CD15" s="3">
        <v>162.30000000000001</v>
      </c>
      <c r="CF15" s="3" t="s">
        <v>100</v>
      </c>
      <c r="CG15" s="18">
        <f t="shared" si="4"/>
        <v>1.2533857347708335E-2</v>
      </c>
      <c r="CH15" s="18">
        <f t="shared" si="5"/>
        <v>3.4928848641657211E-3</v>
      </c>
      <c r="CI15" s="18">
        <f t="shared" si="6"/>
        <v>3.7105751391467087E-3</v>
      </c>
    </row>
    <row r="16" spans="1:98" x14ac:dyDescent="0.3">
      <c r="A16" t="s">
        <v>21</v>
      </c>
      <c r="B16" t="s">
        <v>61</v>
      </c>
      <c r="C16">
        <v>136.6</v>
      </c>
      <c r="D16">
        <v>136.69999999999999</v>
      </c>
      <c r="E16">
        <v>136.5</v>
      </c>
      <c r="F16">
        <v>136.5</v>
      </c>
      <c r="G16">
        <v>136.9</v>
      </c>
      <c r="H16">
        <v>138.1</v>
      </c>
      <c r="I16">
        <v>139.69999999999999</v>
      </c>
      <c r="J16">
        <v>140.9</v>
      </c>
      <c r="K16">
        <v>142.30000000000001</v>
      </c>
      <c r="L16">
        <v>145.30000000000001</v>
      </c>
      <c r="M16">
        <v>145.1</v>
      </c>
      <c r="N16">
        <v>142.69999999999999</v>
      </c>
      <c r="O16">
        <v>139.5</v>
      </c>
      <c r="P16">
        <v>138.4</v>
      </c>
      <c r="Q16">
        <v>139.69999999999999</v>
      </c>
      <c r="R16">
        <v>140.30000000000001</v>
      </c>
      <c r="S16">
        <v>141.19999999999999</v>
      </c>
      <c r="T16">
        <v>139.30000000000001</v>
      </c>
      <c r="U16">
        <v>138.5</v>
      </c>
      <c r="V16">
        <v>139.19999999999999</v>
      </c>
      <c r="W16">
        <v>140.6</v>
      </c>
      <c r="X16">
        <v>142.30000000000001</v>
      </c>
      <c r="Y16">
        <v>143.69999999999999</v>
      </c>
      <c r="Z16">
        <v>144.6</v>
      </c>
      <c r="AA16">
        <v>147.19999999999999</v>
      </c>
      <c r="AB16">
        <v>148.9</v>
      </c>
      <c r="AC16">
        <v>144.1</v>
      </c>
      <c r="AD16">
        <v>144.47499999999999</v>
      </c>
      <c r="AE16">
        <v>141.9</v>
      </c>
      <c r="AF16">
        <v>141.9</v>
      </c>
      <c r="AG16">
        <v>143</v>
      </c>
      <c r="AH16">
        <v>142.9</v>
      </c>
      <c r="AI16">
        <v>143.1</v>
      </c>
      <c r="AJ16">
        <v>143.6</v>
      </c>
      <c r="AK16">
        <v>144.6</v>
      </c>
      <c r="AL16">
        <v>147.9</v>
      </c>
      <c r="AM16">
        <v>152.4</v>
      </c>
      <c r="AN16">
        <v>155.5</v>
      </c>
      <c r="AO16">
        <v>155.6</v>
      </c>
      <c r="AP16">
        <v>159.4</v>
      </c>
      <c r="AQ16">
        <v>159.80000000000001</v>
      </c>
      <c r="AR16">
        <v>160.69999999999999</v>
      </c>
      <c r="AS16">
        <v>162.6</v>
      </c>
      <c r="AT16">
        <v>162.6</v>
      </c>
      <c r="AU16">
        <v>164.2</v>
      </c>
      <c r="AV16">
        <v>163.9</v>
      </c>
      <c r="AW16">
        <v>164.1</v>
      </c>
      <c r="AX16">
        <v>164.2</v>
      </c>
      <c r="AY16">
        <v>165.7</v>
      </c>
      <c r="AZ16">
        <v>167.2</v>
      </c>
      <c r="BA16">
        <v>172.2</v>
      </c>
      <c r="BB16">
        <v>174.6</v>
      </c>
      <c r="BC16">
        <v>176</v>
      </c>
      <c r="BD16">
        <v>179.6</v>
      </c>
      <c r="BE16">
        <v>178.8</v>
      </c>
      <c r="BF16">
        <v>179.5</v>
      </c>
      <c r="BG16">
        <v>180.5</v>
      </c>
      <c r="BH16">
        <v>181.3</v>
      </c>
      <c r="BI16">
        <v>182</v>
      </c>
      <c r="BJ16">
        <v>182</v>
      </c>
      <c r="BK16">
        <v>182.1</v>
      </c>
      <c r="BL16">
        <v>181.9</v>
      </c>
      <c r="BM16">
        <v>181.7</v>
      </c>
      <c r="BN16">
        <v>182.8</v>
      </c>
      <c r="BQ16" s="3" t="s">
        <v>76</v>
      </c>
      <c r="BR16" s="3">
        <v>135.76666666666668</v>
      </c>
      <c r="BS16" s="3">
        <v>141.48000000000002</v>
      </c>
      <c r="BT16" s="3">
        <v>146.19999999999999</v>
      </c>
      <c r="BV16" s="3" t="s">
        <v>76</v>
      </c>
      <c r="BW16" s="18">
        <f t="shared" si="2"/>
        <v>3.5109331690793182E-3</v>
      </c>
      <c r="BX16" s="18">
        <f t="shared" si="3"/>
        <v>3.6889897843362567E-3</v>
      </c>
      <c r="BY16" s="18">
        <f t="shared" si="0"/>
        <v>4.120879120879082E-3</v>
      </c>
      <c r="BZ16" s="3"/>
      <c r="CA16" s="3" t="s">
        <v>101</v>
      </c>
      <c r="CB16" s="3">
        <v>162.20000000000002</v>
      </c>
      <c r="CC16" s="3">
        <v>157.16</v>
      </c>
      <c r="CD16" s="3">
        <v>165.8</v>
      </c>
      <c r="CF16" s="3" t="s">
        <v>101</v>
      </c>
      <c r="CG16" s="18">
        <f t="shared" si="4"/>
        <v>2.0928402832415528E-2</v>
      </c>
      <c r="CH16" s="18">
        <f t="shared" si="5"/>
        <v>1.3020497615057249E-2</v>
      </c>
      <c r="CI16" s="18">
        <f t="shared" si="6"/>
        <v>2.1565003080714726E-2</v>
      </c>
    </row>
    <row r="17" spans="1:109" x14ac:dyDescent="0.3">
      <c r="A17" t="s">
        <v>22</v>
      </c>
      <c r="B17" t="s">
        <v>61</v>
      </c>
      <c r="C17">
        <v>134.9</v>
      </c>
      <c r="D17">
        <v>135.19999999999999</v>
      </c>
      <c r="E17">
        <v>135.6</v>
      </c>
      <c r="F17">
        <v>136.6</v>
      </c>
      <c r="G17">
        <v>137.4</v>
      </c>
      <c r="H17">
        <v>137.9</v>
      </c>
      <c r="I17">
        <v>138.6</v>
      </c>
      <c r="J17">
        <v>139.4</v>
      </c>
      <c r="K17">
        <v>139.69999999999999</v>
      </c>
      <c r="L17">
        <v>142.19999999999999</v>
      </c>
      <c r="M17">
        <v>142.19999999999999</v>
      </c>
      <c r="N17">
        <v>143.19999999999999</v>
      </c>
      <c r="O17">
        <v>143.6</v>
      </c>
      <c r="P17">
        <v>143.69999999999999</v>
      </c>
      <c r="Q17">
        <v>143.80000000000001</v>
      </c>
      <c r="R17">
        <v>143.69999999999999</v>
      </c>
      <c r="S17">
        <v>143.80000000000001</v>
      </c>
      <c r="T17">
        <v>144.19999999999999</v>
      </c>
      <c r="U17">
        <v>144.5</v>
      </c>
      <c r="V17">
        <v>144.6</v>
      </c>
      <c r="W17">
        <v>145</v>
      </c>
      <c r="X17">
        <v>145.30000000000001</v>
      </c>
      <c r="Y17">
        <v>145.80000000000001</v>
      </c>
      <c r="Z17">
        <v>146.19999999999999</v>
      </c>
      <c r="AA17">
        <v>146.4</v>
      </c>
      <c r="AB17">
        <v>146.4</v>
      </c>
      <c r="AC17" t="s">
        <v>32</v>
      </c>
      <c r="AD17">
        <v>146.9</v>
      </c>
      <c r="AE17">
        <v>146.4</v>
      </c>
      <c r="AF17">
        <v>146.4</v>
      </c>
      <c r="AG17">
        <v>148.4</v>
      </c>
      <c r="AH17">
        <v>148.69999999999999</v>
      </c>
      <c r="AI17">
        <v>148.69999999999999</v>
      </c>
      <c r="AJ17">
        <v>149.19999999999999</v>
      </c>
      <c r="AK17">
        <v>149.69999999999999</v>
      </c>
      <c r="AL17">
        <v>150</v>
      </c>
      <c r="AM17">
        <v>150.9</v>
      </c>
      <c r="AN17">
        <v>151.19999999999999</v>
      </c>
      <c r="AO17">
        <v>151.80000000000001</v>
      </c>
      <c r="AP17">
        <v>154.69999999999999</v>
      </c>
      <c r="AQ17">
        <v>154.80000000000001</v>
      </c>
      <c r="AR17">
        <v>155.80000000000001</v>
      </c>
      <c r="AS17">
        <v>157.5</v>
      </c>
      <c r="AT17">
        <v>157.5</v>
      </c>
      <c r="AU17">
        <v>158.4</v>
      </c>
      <c r="AV17">
        <v>159.30000000000001</v>
      </c>
      <c r="AW17">
        <v>160.19999999999999</v>
      </c>
      <c r="AX17">
        <v>161.1</v>
      </c>
      <c r="AY17">
        <v>161.80000000000001</v>
      </c>
      <c r="AZ17">
        <v>162.80000000000001</v>
      </c>
      <c r="BA17">
        <v>164</v>
      </c>
      <c r="BB17">
        <v>165.2</v>
      </c>
      <c r="BC17">
        <v>166.4</v>
      </c>
      <c r="BD17">
        <v>167.4</v>
      </c>
      <c r="BE17">
        <v>168.5</v>
      </c>
      <c r="BF17">
        <v>169.5</v>
      </c>
      <c r="BG17">
        <v>170.4</v>
      </c>
      <c r="BH17">
        <v>171.4</v>
      </c>
      <c r="BI17">
        <v>172.1</v>
      </c>
      <c r="BJ17">
        <v>172.9</v>
      </c>
      <c r="BK17">
        <v>174.2</v>
      </c>
      <c r="BL17">
        <v>174.2</v>
      </c>
      <c r="BM17">
        <v>174.6</v>
      </c>
      <c r="BN17">
        <v>175.2</v>
      </c>
      <c r="BQ17" s="3" t="s">
        <v>77</v>
      </c>
      <c r="BR17" s="3">
        <v>138.15833333333336</v>
      </c>
      <c r="BS17" s="3">
        <v>142.12</v>
      </c>
      <c r="BT17" s="3">
        <v>146.9</v>
      </c>
      <c r="BV17" s="3" t="s">
        <v>77</v>
      </c>
      <c r="BW17" s="18">
        <f t="shared" si="2"/>
        <v>1.7616007856616839E-2</v>
      </c>
      <c r="BX17" s="18">
        <f t="shared" si="3"/>
        <v>4.5236075770425949E-3</v>
      </c>
      <c r="BY17" s="18">
        <f t="shared" si="0"/>
        <v>4.7879616963065466E-3</v>
      </c>
      <c r="BZ17" s="3"/>
      <c r="CA17" s="3" t="s">
        <v>102</v>
      </c>
      <c r="CB17" s="3">
        <v>164.49166666666665</v>
      </c>
      <c r="CC17" s="3">
        <v>157.5</v>
      </c>
      <c r="CD17" s="3">
        <v>166.3</v>
      </c>
      <c r="CF17" s="3" t="s">
        <v>102</v>
      </c>
      <c r="CG17" s="18">
        <f t="shared" si="4"/>
        <v>1.4128647759966884E-2</v>
      </c>
      <c r="CH17" s="18">
        <f t="shared" si="5"/>
        <v>2.1634003563247863E-3</v>
      </c>
      <c r="CI17" s="18">
        <f t="shared" si="6"/>
        <v>3.0156815440289505E-3</v>
      </c>
    </row>
    <row r="18" spans="1:109" x14ac:dyDescent="0.3">
      <c r="A18" t="s">
        <v>23</v>
      </c>
      <c r="B18" t="s">
        <v>23</v>
      </c>
      <c r="C18">
        <v>133.30000000000001</v>
      </c>
      <c r="D18">
        <v>133.80000000000001</v>
      </c>
      <c r="E18">
        <v>134.30000000000001</v>
      </c>
      <c r="F18">
        <v>135.19999999999999</v>
      </c>
      <c r="G18">
        <v>136</v>
      </c>
      <c r="H18">
        <v>136.19999999999999</v>
      </c>
      <c r="I18">
        <v>137</v>
      </c>
      <c r="J18">
        <v>137.69999999999999</v>
      </c>
      <c r="K18">
        <v>138.4</v>
      </c>
      <c r="L18">
        <v>142.1</v>
      </c>
      <c r="M18">
        <v>142.1</v>
      </c>
      <c r="N18">
        <v>144.9</v>
      </c>
      <c r="O18">
        <v>145.1</v>
      </c>
      <c r="P18">
        <v>145.6</v>
      </c>
      <c r="Q18">
        <v>146.19999999999999</v>
      </c>
      <c r="R18">
        <v>146.9</v>
      </c>
      <c r="S18">
        <v>147.4</v>
      </c>
      <c r="T18">
        <v>147.9</v>
      </c>
      <c r="U18">
        <v>148.5</v>
      </c>
      <c r="V18">
        <v>149</v>
      </c>
      <c r="W18">
        <v>149.4</v>
      </c>
      <c r="X18">
        <v>149.9</v>
      </c>
      <c r="Y18">
        <v>150.4</v>
      </c>
      <c r="Z18">
        <v>151.19999999999999</v>
      </c>
      <c r="AA18">
        <v>151.69999999999999</v>
      </c>
      <c r="AB18">
        <v>152.30000000000001</v>
      </c>
      <c r="AC18">
        <v>150.69999999999999</v>
      </c>
      <c r="AD18">
        <v>152.55000000000001</v>
      </c>
      <c r="AE18">
        <v>154.4</v>
      </c>
      <c r="AF18">
        <v>154.4</v>
      </c>
      <c r="AG18">
        <v>155</v>
      </c>
      <c r="AH18">
        <v>155.6</v>
      </c>
      <c r="AI18">
        <v>156.30000000000001</v>
      </c>
      <c r="AJ18">
        <v>157.19999999999999</v>
      </c>
      <c r="AK18">
        <v>158.30000000000001</v>
      </c>
      <c r="AL18">
        <v>159.30000000000001</v>
      </c>
      <c r="AM18">
        <v>161.30000000000001</v>
      </c>
      <c r="AN18">
        <v>161.69999999999999</v>
      </c>
      <c r="AO18">
        <v>162.30000000000001</v>
      </c>
      <c r="AP18">
        <v>165.8</v>
      </c>
      <c r="AQ18">
        <v>166.3</v>
      </c>
      <c r="AR18">
        <v>167</v>
      </c>
      <c r="AS18">
        <v>168.4</v>
      </c>
      <c r="AT18">
        <v>168.4</v>
      </c>
      <c r="AU18">
        <v>169.1</v>
      </c>
      <c r="AV18">
        <v>169.9</v>
      </c>
      <c r="AW18">
        <v>170.6</v>
      </c>
      <c r="AX18">
        <v>171.4</v>
      </c>
      <c r="AY18">
        <v>172.2</v>
      </c>
      <c r="AZ18">
        <v>173</v>
      </c>
      <c r="BA18">
        <v>174</v>
      </c>
      <c r="BB18">
        <v>174.8</v>
      </c>
      <c r="BC18">
        <v>175.4</v>
      </c>
      <c r="BD18">
        <v>176.1</v>
      </c>
      <c r="BE18">
        <v>176.8</v>
      </c>
      <c r="BF18">
        <v>177.8</v>
      </c>
      <c r="BG18">
        <v>178.7</v>
      </c>
      <c r="BH18">
        <v>179.8</v>
      </c>
      <c r="BI18">
        <v>181.1</v>
      </c>
      <c r="BJ18">
        <v>182.3</v>
      </c>
      <c r="BK18">
        <v>184.4</v>
      </c>
      <c r="BL18">
        <v>184.4</v>
      </c>
      <c r="BM18">
        <v>185</v>
      </c>
      <c r="BN18">
        <v>185.7</v>
      </c>
      <c r="BQ18" s="3" t="s">
        <v>78</v>
      </c>
      <c r="BR18" s="3">
        <v>139.99166666666667</v>
      </c>
      <c r="BS18" s="3">
        <v>142.30000000000001</v>
      </c>
      <c r="BT18" s="3">
        <v>147.4</v>
      </c>
      <c r="BV18" s="3" t="s">
        <v>78</v>
      </c>
      <c r="BW18" s="18">
        <f t="shared" si="2"/>
        <v>1.3269799143494642E-2</v>
      </c>
      <c r="BX18" s="18">
        <f t="shared" si="3"/>
        <v>1.2665353222629243E-3</v>
      </c>
      <c r="BY18" s="18">
        <f t="shared" si="0"/>
        <v>3.4036759700476512E-3</v>
      </c>
      <c r="BZ18" s="3"/>
      <c r="CA18" s="3" t="s">
        <v>103</v>
      </c>
      <c r="CB18" s="3">
        <v>165.50833333333335</v>
      </c>
      <c r="CC18" s="3">
        <v>158.85999999999999</v>
      </c>
      <c r="CD18" s="3">
        <v>167</v>
      </c>
      <c r="CF18" s="3" t="s">
        <v>103</v>
      </c>
      <c r="CG18" s="18">
        <f t="shared" si="4"/>
        <v>6.1806575814380166E-3</v>
      </c>
      <c r="CH18" s="18">
        <f t="shared" si="5"/>
        <v>8.6349206349205405E-3</v>
      </c>
      <c r="CI18" s="18">
        <f t="shared" si="6"/>
        <v>4.2092603728201361E-3</v>
      </c>
    </row>
    <row r="19" spans="1:109" x14ac:dyDescent="0.3">
      <c r="A19" t="s">
        <v>24</v>
      </c>
      <c r="B19" t="s">
        <v>61</v>
      </c>
      <c r="C19">
        <v>119.3</v>
      </c>
      <c r="D19">
        <v>120.2</v>
      </c>
      <c r="E19">
        <v>121</v>
      </c>
      <c r="F19">
        <v>121.9</v>
      </c>
      <c r="G19">
        <v>122.9</v>
      </c>
      <c r="H19">
        <v>123.7</v>
      </c>
      <c r="I19">
        <v>123.6</v>
      </c>
      <c r="J19">
        <v>124.3</v>
      </c>
      <c r="K19">
        <v>126</v>
      </c>
      <c r="L19">
        <v>125.5</v>
      </c>
      <c r="M19">
        <v>125.5</v>
      </c>
      <c r="N19">
        <v>123.6</v>
      </c>
      <c r="O19">
        <v>123.3</v>
      </c>
      <c r="P19">
        <v>123.9</v>
      </c>
      <c r="Q19">
        <v>124.6</v>
      </c>
      <c r="R19">
        <v>124.9</v>
      </c>
      <c r="S19">
        <v>124.6</v>
      </c>
      <c r="T19">
        <v>125.6</v>
      </c>
      <c r="U19">
        <v>125.8</v>
      </c>
      <c r="V19">
        <v>126.1</v>
      </c>
      <c r="W19">
        <v>126.3</v>
      </c>
      <c r="X19">
        <v>126.6</v>
      </c>
      <c r="Y19">
        <v>129.80000000000001</v>
      </c>
      <c r="Z19">
        <v>130.9</v>
      </c>
      <c r="AA19">
        <v>130.30000000000001</v>
      </c>
      <c r="AB19">
        <v>129.9</v>
      </c>
      <c r="AC19" t="s">
        <v>32</v>
      </c>
      <c r="AD19">
        <v>133.98750000000001</v>
      </c>
      <c r="AE19">
        <v>135</v>
      </c>
      <c r="AF19">
        <v>135</v>
      </c>
      <c r="AG19">
        <v>138.5</v>
      </c>
      <c r="AH19">
        <v>139.6</v>
      </c>
      <c r="AI19">
        <v>140.6</v>
      </c>
      <c r="AJ19">
        <v>140.4</v>
      </c>
      <c r="AK19">
        <v>140.69999999999999</v>
      </c>
      <c r="AL19">
        <v>141.9</v>
      </c>
      <c r="AM19">
        <v>145.1</v>
      </c>
      <c r="AN19">
        <v>146.19999999999999</v>
      </c>
      <c r="AO19">
        <v>146.6</v>
      </c>
      <c r="AP19">
        <v>148.9</v>
      </c>
      <c r="AQ19">
        <v>150.69999999999999</v>
      </c>
      <c r="AR19">
        <v>153.1</v>
      </c>
      <c r="AS19">
        <v>154</v>
      </c>
      <c r="AT19">
        <v>154</v>
      </c>
      <c r="AU19">
        <v>155.69999999999999</v>
      </c>
      <c r="AV19">
        <v>154.80000000000001</v>
      </c>
      <c r="AW19">
        <v>155.69999999999999</v>
      </c>
      <c r="AX19">
        <v>156.5</v>
      </c>
      <c r="AY19">
        <v>156.9</v>
      </c>
      <c r="AZ19">
        <v>157.9</v>
      </c>
      <c r="BA19">
        <v>162.6</v>
      </c>
      <c r="BB19">
        <v>163</v>
      </c>
      <c r="BC19">
        <v>161.1</v>
      </c>
      <c r="BD19">
        <v>161.6</v>
      </c>
      <c r="BE19">
        <v>161.9</v>
      </c>
      <c r="BF19">
        <v>162.30000000000001</v>
      </c>
      <c r="BG19">
        <v>162.9</v>
      </c>
      <c r="BH19">
        <v>163</v>
      </c>
      <c r="BI19">
        <v>163.4</v>
      </c>
      <c r="BJ19">
        <v>163.6</v>
      </c>
      <c r="BK19">
        <v>164.2</v>
      </c>
      <c r="BL19">
        <v>164.2</v>
      </c>
      <c r="BM19">
        <v>164.5</v>
      </c>
      <c r="BN19">
        <v>164.8</v>
      </c>
      <c r="BQ19" s="3" t="s">
        <v>79</v>
      </c>
      <c r="BR19" s="3">
        <v>141.9</v>
      </c>
      <c r="BS19" s="3">
        <v>142.73999999999998</v>
      </c>
      <c r="BT19" s="3">
        <v>147.9</v>
      </c>
      <c r="BV19" s="3" t="s">
        <v>79</v>
      </c>
      <c r="BW19" s="18">
        <f t="shared" si="2"/>
        <v>1.3631763795464002E-2</v>
      </c>
      <c r="BX19" s="18">
        <f t="shared" si="3"/>
        <v>3.0920590302176338E-3</v>
      </c>
      <c r="BY19" s="18">
        <f t="shared" si="0"/>
        <v>3.3921302578018993E-3</v>
      </c>
      <c r="BZ19" s="3"/>
      <c r="CA19" s="3" t="s">
        <v>104</v>
      </c>
      <c r="CB19" s="3">
        <v>164.94166666666669</v>
      </c>
      <c r="CC19" s="3">
        <v>160</v>
      </c>
      <c r="CD19" s="3">
        <v>168.4</v>
      </c>
      <c r="CF19" s="3" t="s">
        <v>104</v>
      </c>
      <c r="CG19" s="18">
        <f t="shared" si="4"/>
        <v>-3.4237953778762167E-3</v>
      </c>
      <c r="CH19" s="18">
        <f t="shared" si="5"/>
        <v>7.176129925720854E-3</v>
      </c>
      <c r="CI19" s="18">
        <f t="shared" si="6"/>
        <v>8.3832335329341659E-3</v>
      </c>
    </row>
    <row r="20" spans="1:109" x14ac:dyDescent="0.3">
      <c r="A20" t="s">
        <v>26</v>
      </c>
      <c r="B20" t="s">
        <v>61</v>
      </c>
      <c r="C20">
        <v>139</v>
      </c>
      <c r="D20">
        <v>139</v>
      </c>
      <c r="E20">
        <v>139.80000000000001</v>
      </c>
      <c r="F20">
        <v>141.4</v>
      </c>
      <c r="G20">
        <v>142.1</v>
      </c>
      <c r="H20">
        <v>142.80000000000001</v>
      </c>
      <c r="I20">
        <v>144.69999999999999</v>
      </c>
      <c r="J20">
        <v>146</v>
      </c>
      <c r="K20">
        <v>146.19999999999999</v>
      </c>
      <c r="L20">
        <v>147.80000000000001</v>
      </c>
      <c r="M20">
        <v>147.80000000000001</v>
      </c>
      <c r="N20">
        <v>150.1</v>
      </c>
      <c r="O20">
        <v>150.19999999999999</v>
      </c>
      <c r="P20">
        <v>150.30000000000001</v>
      </c>
      <c r="Q20">
        <v>150.30000000000001</v>
      </c>
      <c r="R20">
        <v>151.6</v>
      </c>
      <c r="S20">
        <v>152.5</v>
      </c>
      <c r="T20">
        <v>154</v>
      </c>
      <c r="U20">
        <v>154.9</v>
      </c>
      <c r="V20">
        <v>155.19999999999999</v>
      </c>
      <c r="W20">
        <v>155.4</v>
      </c>
      <c r="X20">
        <v>155.5</v>
      </c>
      <c r="Y20">
        <v>155.69999999999999</v>
      </c>
      <c r="Z20">
        <v>156.1</v>
      </c>
      <c r="AA20">
        <v>156.19999999999999</v>
      </c>
      <c r="AB20">
        <v>156.1</v>
      </c>
      <c r="AC20" t="s">
        <v>32</v>
      </c>
      <c r="AD20">
        <v>156.81874999999999</v>
      </c>
      <c r="AE20">
        <v>156.4</v>
      </c>
      <c r="AF20">
        <v>156.4</v>
      </c>
      <c r="AG20">
        <v>158.5</v>
      </c>
      <c r="AH20">
        <v>157.5</v>
      </c>
      <c r="AI20">
        <v>158.5</v>
      </c>
      <c r="AJ20">
        <v>158.6</v>
      </c>
      <c r="AK20">
        <v>159.4</v>
      </c>
      <c r="AL20">
        <v>159.19999999999999</v>
      </c>
      <c r="AM20">
        <v>159.5</v>
      </c>
      <c r="AN20">
        <v>160.19999999999999</v>
      </c>
      <c r="AO20">
        <v>160.30000000000001</v>
      </c>
      <c r="AP20">
        <v>161.19999999999999</v>
      </c>
      <c r="AQ20">
        <v>161.69999999999999</v>
      </c>
      <c r="AR20">
        <v>163.19999999999999</v>
      </c>
      <c r="AS20">
        <v>163.80000000000001</v>
      </c>
      <c r="AT20">
        <v>163.69999999999999</v>
      </c>
      <c r="AU20">
        <v>163.9</v>
      </c>
      <c r="AV20">
        <v>164.3</v>
      </c>
      <c r="AW20">
        <v>164.4</v>
      </c>
      <c r="AX20">
        <v>164.7</v>
      </c>
      <c r="AY20">
        <v>165.4</v>
      </c>
      <c r="AZ20">
        <v>166</v>
      </c>
      <c r="BA20">
        <v>166.9</v>
      </c>
      <c r="BB20">
        <v>167.9</v>
      </c>
      <c r="BC20">
        <v>169</v>
      </c>
      <c r="BD20">
        <v>171.4</v>
      </c>
      <c r="BE20">
        <v>172.3</v>
      </c>
      <c r="BF20">
        <v>173.1</v>
      </c>
      <c r="BG20">
        <v>173.4</v>
      </c>
      <c r="BH20">
        <v>173.7</v>
      </c>
      <c r="BI20">
        <v>174.1</v>
      </c>
      <c r="BJ20">
        <v>174.3</v>
      </c>
      <c r="BK20">
        <v>175</v>
      </c>
      <c r="BL20">
        <v>175</v>
      </c>
      <c r="BM20">
        <v>176.4</v>
      </c>
      <c r="BN20">
        <v>177.1</v>
      </c>
      <c r="BQ20" s="3" t="s">
        <v>80</v>
      </c>
      <c r="BR20" s="3">
        <v>142.63333333333333</v>
      </c>
      <c r="BS20" s="3">
        <v>143.06</v>
      </c>
      <c r="BT20" s="3">
        <v>148.5</v>
      </c>
      <c r="BV20" s="3" t="s">
        <v>80</v>
      </c>
      <c r="BW20" s="18">
        <f t="shared" si="2"/>
        <v>5.1679586563306559E-3</v>
      </c>
      <c r="BX20" s="18">
        <f t="shared" si="3"/>
        <v>2.2418383074122297E-3</v>
      </c>
      <c r="BY20" s="18">
        <f t="shared" si="0"/>
        <v>4.0567951318458036E-3</v>
      </c>
      <c r="BZ20" s="3"/>
      <c r="CA20" s="3" t="s">
        <v>105</v>
      </c>
      <c r="CB20" s="3">
        <v>164.94166666666666</v>
      </c>
      <c r="CC20" s="3">
        <v>159.98000000000002</v>
      </c>
      <c r="CD20" s="3">
        <v>168.4</v>
      </c>
      <c r="CF20" s="3" t="s">
        <v>105</v>
      </c>
      <c r="CG20" s="18">
        <f t="shared" si="4"/>
        <v>-1.7231370341274595E-16</v>
      </c>
      <c r="CH20" s="18">
        <f t="shared" si="5"/>
        <v>-1.2499999999988632E-4</v>
      </c>
      <c r="CI20" s="18">
        <f t="shared" si="6"/>
        <v>0</v>
      </c>
    </row>
    <row r="21" spans="1:109" x14ac:dyDescent="0.3">
      <c r="BQ21" s="3" t="s">
        <v>81</v>
      </c>
      <c r="BR21" s="3">
        <v>143.55833333333331</v>
      </c>
      <c r="BS21" s="3">
        <v>143.45999999999998</v>
      </c>
      <c r="BT21" s="3">
        <v>149</v>
      </c>
      <c r="BV21" s="3" t="s">
        <v>81</v>
      </c>
      <c r="BW21" s="18">
        <f t="shared" si="2"/>
        <v>6.4851600841316871E-3</v>
      </c>
      <c r="BX21" s="18">
        <f t="shared" si="3"/>
        <v>2.7960296379140031E-3</v>
      </c>
      <c r="BY21" s="18">
        <f t="shared" si="0"/>
        <v>3.3670033670033669E-3</v>
      </c>
      <c r="BZ21" s="3"/>
      <c r="CA21" s="3" t="s">
        <v>106</v>
      </c>
      <c r="CB21" s="3">
        <v>167.69166666666669</v>
      </c>
      <c r="CC21" s="3">
        <v>161.15999999999997</v>
      </c>
      <c r="CD21" s="3">
        <v>169.1</v>
      </c>
      <c r="CF21" s="3" t="s">
        <v>106</v>
      </c>
      <c r="CG21" s="18">
        <f t="shared" si="4"/>
        <v>1.6672561006416581E-2</v>
      </c>
      <c r="CH21" s="18">
        <f t="shared" si="5"/>
        <v>7.375921990248468E-3</v>
      </c>
      <c r="CI21" s="18">
        <f t="shared" si="6"/>
        <v>4.1567695961994573E-3</v>
      </c>
    </row>
    <row r="22" spans="1:109" x14ac:dyDescent="0.3">
      <c r="BQ22" s="3" t="s">
        <v>82</v>
      </c>
      <c r="BR22" s="3">
        <v>145.87499999999997</v>
      </c>
      <c r="BS22" s="3">
        <v>144.06</v>
      </c>
      <c r="BT22" s="3">
        <v>149.4</v>
      </c>
      <c r="BV22" s="3" t="s">
        <v>82</v>
      </c>
      <c r="BW22" s="18">
        <f t="shared" si="2"/>
        <v>1.6137458640506159E-2</v>
      </c>
      <c r="BX22" s="18">
        <f t="shared" si="3"/>
        <v>4.1823504809704645E-3</v>
      </c>
      <c r="BY22" s="18">
        <f t="shared" si="0"/>
        <v>2.6845637583892998E-3</v>
      </c>
      <c r="BZ22" s="3"/>
      <c r="CA22" s="3" t="s">
        <v>107</v>
      </c>
      <c r="CB22" s="3">
        <v>169.2</v>
      </c>
      <c r="CC22" s="3">
        <v>161.30000000000001</v>
      </c>
      <c r="CD22" s="3">
        <v>169.9</v>
      </c>
      <c r="CF22" s="3" t="s">
        <v>107</v>
      </c>
      <c r="CG22" s="18">
        <f t="shared" si="4"/>
        <v>8.9946827013862567E-3</v>
      </c>
      <c r="CH22" s="18">
        <f t="shared" si="5"/>
        <v>8.6870191114447274E-4</v>
      </c>
      <c r="CI22" s="18">
        <f t="shared" si="6"/>
        <v>4.730928444707341E-3</v>
      </c>
    </row>
    <row r="23" spans="1:109" x14ac:dyDescent="0.3">
      <c r="A23" s="24"/>
      <c r="B23" s="24" t="s">
        <v>127</v>
      </c>
      <c r="C23" s="24" t="s">
        <v>74</v>
      </c>
      <c r="D23" s="24" t="s">
        <v>75</v>
      </c>
      <c r="E23" s="24" t="s">
        <v>62</v>
      </c>
      <c r="F23" s="24" t="s">
        <v>63</v>
      </c>
      <c r="G23" s="24" t="s">
        <v>64</v>
      </c>
      <c r="H23" s="24" t="s">
        <v>65</v>
      </c>
      <c r="I23" s="24" t="s">
        <v>66</v>
      </c>
      <c r="J23" s="24" t="s">
        <v>67</v>
      </c>
      <c r="K23" s="24" t="s">
        <v>68</v>
      </c>
      <c r="L23" s="24" t="s">
        <v>69</v>
      </c>
      <c r="M23" s="24" t="s">
        <v>70</v>
      </c>
      <c r="N23" s="24" t="s">
        <v>71</v>
      </c>
      <c r="O23" s="24" t="s">
        <v>72</v>
      </c>
      <c r="P23" s="24" t="s">
        <v>73</v>
      </c>
      <c r="Q23" s="24" t="s">
        <v>76</v>
      </c>
      <c r="R23" s="24" t="s">
        <v>77</v>
      </c>
      <c r="S23" s="24" t="s">
        <v>78</v>
      </c>
      <c r="T23" s="24" t="s">
        <v>79</v>
      </c>
      <c r="U23" s="24" t="s">
        <v>80</v>
      </c>
      <c r="V23" s="24" t="s">
        <v>81</v>
      </c>
      <c r="W23" s="24" t="s">
        <v>82</v>
      </c>
      <c r="X23" s="24" t="s">
        <v>83</v>
      </c>
      <c r="Y23" s="24" t="s">
        <v>84</v>
      </c>
      <c r="Z23" s="24" t="s">
        <v>85</v>
      </c>
      <c r="AA23" s="24" t="s">
        <v>86</v>
      </c>
      <c r="AB23" s="24" t="s">
        <v>87</v>
      </c>
      <c r="AC23" s="24" t="s">
        <v>88</v>
      </c>
      <c r="AD23" s="24" t="s">
        <v>89</v>
      </c>
      <c r="AE23" s="24" t="s">
        <v>90</v>
      </c>
      <c r="AF23" s="24" t="s">
        <v>91</v>
      </c>
      <c r="AG23" s="24" t="s">
        <v>92</v>
      </c>
      <c r="AH23" s="24" t="s">
        <v>93</v>
      </c>
      <c r="AI23" s="24" t="s">
        <v>94</v>
      </c>
      <c r="AJ23" s="24" t="s">
        <v>95</v>
      </c>
      <c r="AK23" s="24" t="s">
        <v>96</v>
      </c>
      <c r="AL23" s="24" t="s">
        <v>97</v>
      </c>
      <c r="AM23" s="24" t="s">
        <v>98</v>
      </c>
      <c r="AN23" s="24" t="s">
        <v>99</v>
      </c>
      <c r="AO23" s="24" t="s">
        <v>100</v>
      </c>
      <c r="AP23" s="24" t="s">
        <v>101</v>
      </c>
      <c r="AQ23" s="24" t="s">
        <v>102</v>
      </c>
      <c r="AR23" s="24" t="s">
        <v>103</v>
      </c>
      <c r="AS23" s="24" t="s">
        <v>104</v>
      </c>
      <c r="AT23" s="24" t="s">
        <v>105</v>
      </c>
      <c r="AU23" s="24" t="s">
        <v>106</v>
      </c>
      <c r="AV23" s="24" t="s">
        <v>107</v>
      </c>
      <c r="AW23" s="24" t="s">
        <v>108</v>
      </c>
      <c r="AX23" s="24" t="s">
        <v>109</v>
      </c>
      <c r="AY23" s="24" t="s">
        <v>110</v>
      </c>
      <c r="AZ23" s="24" t="s">
        <v>111</v>
      </c>
      <c r="BA23" s="24" t="s">
        <v>112</v>
      </c>
      <c r="BB23" s="24" t="s">
        <v>113</v>
      </c>
      <c r="BC23" s="24" t="s">
        <v>114</v>
      </c>
      <c r="BD23" s="24" t="s">
        <v>115</v>
      </c>
      <c r="BE23" s="24" t="s">
        <v>116</v>
      </c>
      <c r="BF23" s="24" t="s">
        <v>117</v>
      </c>
      <c r="BG23" s="24" t="s">
        <v>118</v>
      </c>
      <c r="BH23" s="24" t="s">
        <v>119</v>
      </c>
      <c r="BI23" s="24" t="s">
        <v>120</v>
      </c>
      <c r="BJ23" s="24" t="s">
        <v>121</v>
      </c>
      <c r="BK23" s="24" t="s">
        <v>122</v>
      </c>
      <c r="BL23" s="24" t="s">
        <v>123</v>
      </c>
      <c r="BM23" s="24" t="s">
        <v>124</v>
      </c>
      <c r="BN23" s="24" t="s">
        <v>125</v>
      </c>
      <c r="BO23" s="24"/>
      <c r="BQ23" s="3" t="s">
        <v>83</v>
      </c>
      <c r="BR23" s="3">
        <v>147.96666666666667</v>
      </c>
      <c r="BS23" s="3">
        <v>144.64000000000001</v>
      </c>
      <c r="BT23" s="3">
        <v>149.9</v>
      </c>
      <c r="BV23" s="3" t="s">
        <v>83</v>
      </c>
      <c r="BW23" s="18">
        <f t="shared" si="2"/>
        <v>1.4338760354184729E-2</v>
      </c>
      <c r="BX23" s="18">
        <f t="shared" si="3"/>
        <v>4.0261002360128589E-3</v>
      </c>
      <c r="BY23" s="18">
        <f t="shared" si="0"/>
        <v>3.3467202141900937E-3</v>
      </c>
      <c r="BZ23" s="3"/>
      <c r="CA23" s="3" t="s">
        <v>108</v>
      </c>
      <c r="CB23" s="3">
        <v>168.05833333333334</v>
      </c>
      <c r="CC23" s="3">
        <v>161.56</v>
      </c>
      <c r="CD23" s="3">
        <v>170.6</v>
      </c>
      <c r="CF23" s="3" t="s">
        <v>108</v>
      </c>
      <c r="CG23" s="18">
        <f t="shared" si="4"/>
        <v>-6.747438928289903E-3</v>
      </c>
      <c r="CH23" s="18">
        <f t="shared" si="5"/>
        <v>1.6119032858027953E-3</v>
      </c>
      <c r="CI23" s="18">
        <f t="shared" si="6"/>
        <v>4.1200706297821578E-3</v>
      </c>
    </row>
    <row r="24" spans="1:109" x14ac:dyDescent="0.3">
      <c r="B24" t="s">
        <v>48</v>
      </c>
      <c r="C24">
        <f>AVERAGEIFS(C$3:C$20,$B$3:$B$20,$B24)</f>
        <v>137.57500000000002</v>
      </c>
      <c r="D24">
        <f t="shared" ref="D24:BN26" si="7">AVERAGEIFS(D$3:D$20,$B$3:$B$20,$B24)</f>
        <v>135.98333333333332</v>
      </c>
      <c r="E24">
        <f t="shared" si="7"/>
        <v>135.57500000000002</v>
      </c>
      <c r="F24">
        <f t="shared" si="7"/>
        <v>135.62500000000003</v>
      </c>
      <c r="G24">
        <f t="shared" si="7"/>
        <v>135.82499999999999</v>
      </c>
      <c r="H24">
        <f t="shared" si="7"/>
        <v>136.98333333333335</v>
      </c>
      <c r="I24">
        <f t="shared" si="7"/>
        <v>138.75</v>
      </c>
      <c r="J24">
        <f t="shared" si="7"/>
        <v>138.9666666666667</v>
      </c>
      <c r="K24">
        <f t="shared" si="7"/>
        <v>137.39166666666668</v>
      </c>
      <c r="L24">
        <f t="shared" si="7"/>
        <v>136.88333333333335</v>
      </c>
      <c r="M24">
        <f t="shared" si="7"/>
        <v>136.85000000000002</v>
      </c>
      <c r="N24">
        <f t="shared" si="7"/>
        <v>135.74999999999997</v>
      </c>
      <c r="O24">
        <f t="shared" si="7"/>
        <v>135.00833333333333</v>
      </c>
      <c r="P24">
        <f t="shared" si="7"/>
        <v>135.29166666666666</v>
      </c>
      <c r="Q24">
        <f t="shared" si="7"/>
        <v>135.76666666666668</v>
      </c>
      <c r="R24">
        <f t="shared" si="7"/>
        <v>138.15833333333336</v>
      </c>
      <c r="S24">
        <f t="shared" si="7"/>
        <v>139.99166666666667</v>
      </c>
      <c r="T24">
        <f t="shared" si="7"/>
        <v>141.9</v>
      </c>
      <c r="U24">
        <f t="shared" si="7"/>
        <v>142.63333333333333</v>
      </c>
      <c r="V24">
        <f t="shared" si="7"/>
        <v>143.55833333333331</v>
      </c>
      <c r="W24">
        <f t="shared" si="7"/>
        <v>145.87499999999997</v>
      </c>
      <c r="X24">
        <f t="shared" si="7"/>
        <v>147.96666666666667</v>
      </c>
      <c r="Y24">
        <f t="shared" si="7"/>
        <v>150.85833333333335</v>
      </c>
      <c r="Z24">
        <f t="shared" si="7"/>
        <v>150.35833333333332</v>
      </c>
      <c r="AA24">
        <f t="shared" si="7"/>
        <v>147.92499999999998</v>
      </c>
      <c r="AB24">
        <f t="shared" si="7"/>
        <v>146.55833333333334</v>
      </c>
      <c r="AC24">
        <f t="shared" si="7"/>
        <v>148.59</v>
      </c>
      <c r="AD24">
        <f t="shared" si="7"/>
        <v>151.92604166666666</v>
      </c>
      <c r="AE24">
        <f t="shared" si="7"/>
        <v>152.28333333333333</v>
      </c>
      <c r="AF24">
        <f t="shared" si="7"/>
        <v>152.28333333333333</v>
      </c>
      <c r="AG24">
        <f t="shared" si="7"/>
        <v>154.54999999999998</v>
      </c>
      <c r="AH24">
        <f t="shared" si="7"/>
        <v>155.4</v>
      </c>
      <c r="AI24">
        <f t="shared" si="7"/>
        <v>158.7166666666667</v>
      </c>
      <c r="AJ24">
        <f t="shared" si="7"/>
        <v>162.42500000000001</v>
      </c>
      <c r="AK24">
        <f t="shared" si="7"/>
        <v>163.32500000000002</v>
      </c>
      <c r="AL24">
        <f t="shared" si="7"/>
        <v>160.39166666666665</v>
      </c>
      <c r="AM24">
        <f t="shared" si="7"/>
        <v>156.98333333333335</v>
      </c>
      <c r="AN24">
        <f t="shared" si="7"/>
        <v>156.90833333333333</v>
      </c>
      <c r="AO24">
        <f t="shared" si="7"/>
        <v>158.875</v>
      </c>
      <c r="AP24">
        <f t="shared" si="7"/>
        <v>162.20000000000002</v>
      </c>
      <c r="AQ24">
        <f t="shared" si="7"/>
        <v>164.49166666666665</v>
      </c>
      <c r="AR24">
        <f t="shared" si="7"/>
        <v>165.50833333333335</v>
      </c>
      <c r="AS24">
        <f t="shared" si="7"/>
        <v>164.94166666666669</v>
      </c>
      <c r="AT24">
        <f t="shared" si="7"/>
        <v>164.94166666666666</v>
      </c>
      <c r="AU24">
        <f t="shared" si="7"/>
        <v>167.69166666666669</v>
      </c>
      <c r="AV24">
        <f t="shared" si="7"/>
        <v>169.2</v>
      </c>
      <c r="AW24">
        <f t="shared" si="7"/>
        <v>168.05833333333334</v>
      </c>
      <c r="AX24">
        <f t="shared" si="7"/>
        <v>166.65833333333333</v>
      </c>
      <c r="AY24">
        <f t="shared" si="7"/>
        <v>166.37500000000003</v>
      </c>
      <c r="AZ24">
        <f t="shared" si="7"/>
        <v>168.2416666666667</v>
      </c>
      <c r="BA24">
        <f t="shared" si="7"/>
        <v>170.67500000000004</v>
      </c>
      <c r="BB24">
        <f t="shared" si="7"/>
        <v>172.65</v>
      </c>
      <c r="BC24">
        <f t="shared" si="7"/>
        <v>174.5</v>
      </c>
      <c r="BD24">
        <f t="shared" si="7"/>
        <v>174.82500000000002</v>
      </c>
      <c r="BE24">
        <f t="shared" si="7"/>
        <v>175.03333333333333</v>
      </c>
      <c r="BF24">
        <f t="shared" si="7"/>
        <v>175.95833333333334</v>
      </c>
      <c r="BG24">
        <f t="shared" si="7"/>
        <v>177.28333333333333</v>
      </c>
      <c r="BH24">
        <f t="shared" si="7"/>
        <v>177.19999999999996</v>
      </c>
      <c r="BI24">
        <f t="shared" si="7"/>
        <v>176.03333333333333</v>
      </c>
      <c r="BJ24">
        <f t="shared" si="7"/>
        <v>176.77500000000001</v>
      </c>
      <c r="BK24">
        <f t="shared" si="7"/>
        <v>175.56666666666669</v>
      </c>
      <c r="BL24">
        <f t="shared" si="7"/>
        <v>175.57499999999996</v>
      </c>
      <c r="BM24">
        <f t="shared" si="7"/>
        <v>176.39166666666668</v>
      </c>
      <c r="BN24">
        <f t="shared" si="7"/>
        <v>177.79166666666666</v>
      </c>
      <c r="BQ24" s="3" t="s">
        <v>84</v>
      </c>
      <c r="BR24" s="3">
        <v>150.85833333333335</v>
      </c>
      <c r="BS24" s="3">
        <v>145.56</v>
      </c>
      <c r="BT24" s="3">
        <v>150.4</v>
      </c>
      <c r="BV24" s="3" t="s">
        <v>84</v>
      </c>
      <c r="BW24" s="18">
        <f t="shared" si="2"/>
        <v>1.9542689794998964E-2</v>
      </c>
      <c r="BX24" s="18">
        <f t="shared" si="3"/>
        <v>6.3606194690264614E-3</v>
      </c>
      <c r="BY24" s="18">
        <f t="shared" si="0"/>
        <v>3.3355570380253501E-3</v>
      </c>
      <c r="BZ24" s="3"/>
      <c r="CA24" s="3" t="s">
        <v>109</v>
      </c>
      <c r="CB24" s="3">
        <v>166.65833333333333</v>
      </c>
      <c r="CC24" s="3">
        <v>162.19999999999999</v>
      </c>
      <c r="CD24" s="3">
        <v>171.4</v>
      </c>
      <c r="CF24" s="3" t="s">
        <v>109</v>
      </c>
      <c r="CG24" s="18">
        <f t="shared" si="4"/>
        <v>-8.3304408191600468E-3</v>
      </c>
      <c r="CH24" s="18">
        <f t="shared" si="5"/>
        <v>3.9613765783608956E-3</v>
      </c>
      <c r="CI24" s="18">
        <f t="shared" si="6"/>
        <v>4.6893317702228097E-3</v>
      </c>
    </row>
    <row r="25" spans="1:109" x14ac:dyDescent="0.3">
      <c r="B25" t="s">
        <v>61</v>
      </c>
      <c r="C25">
        <f t="shared" ref="C25:R26" si="8">AVERAGEIFS(C$3:C$20,$B$3:$B$20,$B25)</f>
        <v>134.04</v>
      </c>
      <c r="D25">
        <f t="shared" si="8"/>
        <v>134.47999999999999</v>
      </c>
      <c r="E25">
        <f t="shared" si="8"/>
        <v>134.98000000000002</v>
      </c>
      <c r="F25">
        <f t="shared" si="8"/>
        <v>135.85999999999999</v>
      </c>
      <c r="G25">
        <f t="shared" si="8"/>
        <v>136.5</v>
      </c>
      <c r="H25">
        <f t="shared" si="8"/>
        <v>137</v>
      </c>
      <c r="I25">
        <f t="shared" si="8"/>
        <v>138.04000000000002</v>
      </c>
      <c r="J25">
        <f t="shared" si="8"/>
        <v>139.04</v>
      </c>
      <c r="K25">
        <f t="shared" si="8"/>
        <v>139.9</v>
      </c>
      <c r="L25">
        <f t="shared" si="8"/>
        <v>141.54000000000002</v>
      </c>
      <c r="M25">
        <f t="shared" si="8"/>
        <v>141.5</v>
      </c>
      <c r="N25">
        <f t="shared" si="8"/>
        <v>141.22</v>
      </c>
      <c r="O25">
        <f t="shared" si="8"/>
        <v>140.85999999999999</v>
      </c>
      <c r="P25">
        <f t="shared" si="8"/>
        <v>140.95999999999998</v>
      </c>
      <c r="Q25">
        <f t="shared" si="8"/>
        <v>141.48000000000002</v>
      </c>
      <c r="R25">
        <f t="shared" si="8"/>
        <v>142.12</v>
      </c>
      <c r="S25">
        <f t="shared" si="7"/>
        <v>142.30000000000001</v>
      </c>
      <c r="T25">
        <f t="shared" si="7"/>
        <v>142.73999999999998</v>
      </c>
      <c r="U25">
        <f t="shared" si="7"/>
        <v>143.06</v>
      </c>
      <c r="V25">
        <f t="shared" si="7"/>
        <v>143.45999999999998</v>
      </c>
      <c r="W25">
        <f t="shared" si="7"/>
        <v>144.06</v>
      </c>
      <c r="X25">
        <f t="shared" si="7"/>
        <v>144.64000000000001</v>
      </c>
      <c r="Y25">
        <f t="shared" si="7"/>
        <v>145.56</v>
      </c>
      <c r="Z25">
        <f t="shared" si="7"/>
        <v>146.34</v>
      </c>
      <c r="AA25">
        <f t="shared" si="7"/>
        <v>146.98000000000002</v>
      </c>
      <c r="AB25">
        <f t="shared" si="7"/>
        <v>147.16</v>
      </c>
      <c r="AC25">
        <f t="shared" si="7"/>
        <v>149.85</v>
      </c>
      <c r="AD25">
        <f t="shared" si="7"/>
        <v>147.45125000000002</v>
      </c>
      <c r="AE25">
        <f t="shared" si="7"/>
        <v>146.88</v>
      </c>
      <c r="AF25">
        <f t="shared" si="7"/>
        <v>146.88</v>
      </c>
      <c r="AG25">
        <f t="shared" si="7"/>
        <v>148.78</v>
      </c>
      <c r="AH25">
        <f t="shared" si="7"/>
        <v>149</v>
      </c>
      <c r="AI25">
        <f t="shared" si="7"/>
        <v>149.47999999999999</v>
      </c>
      <c r="AJ25">
        <f t="shared" si="7"/>
        <v>149.96</v>
      </c>
      <c r="AK25">
        <f t="shared" si="7"/>
        <v>150.56</v>
      </c>
      <c r="AL25">
        <f t="shared" si="7"/>
        <v>151.34</v>
      </c>
      <c r="AM25">
        <f t="shared" si="7"/>
        <v>153.54000000000002</v>
      </c>
      <c r="AN25">
        <f t="shared" si="7"/>
        <v>154.6</v>
      </c>
      <c r="AO25">
        <f t="shared" si="7"/>
        <v>155.14000000000001</v>
      </c>
      <c r="AP25">
        <f t="shared" si="7"/>
        <v>157.16</v>
      </c>
      <c r="AQ25">
        <f t="shared" si="7"/>
        <v>157.5</v>
      </c>
      <c r="AR25">
        <f t="shared" si="7"/>
        <v>158.85999999999999</v>
      </c>
      <c r="AS25">
        <f t="shared" si="7"/>
        <v>160</v>
      </c>
      <c r="AT25">
        <f t="shared" si="7"/>
        <v>159.98000000000002</v>
      </c>
      <c r="AU25">
        <f t="shared" si="7"/>
        <v>161.15999999999997</v>
      </c>
      <c r="AV25">
        <f t="shared" si="7"/>
        <v>161.30000000000001</v>
      </c>
      <c r="AW25">
        <f t="shared" si="7"/>
        <v>161.56</v>
      </c>
      <c r="AX25">
        <f t="shared" si="7"/>
        <v>162.19999999999999</v>
      </c>
      <c r="AY25">
        <f t="shared" si="7"/>
        <v>163.06</v>
      </c>
      <c r="AZ25">
        <f t="shared" si="7"/>
        <v>163.84</v>
      </c>
      <c r="BA25">
        <f t="shared" si="7"/>
        <v>166.54</v>
      </c>
      <c r="BB25">
        <f t="shared" si="7"/>
        <v>167.64</v>
      </c>
      <c r="BC25">
        <f t="shared" si="7"/>
        <v>167.86</v>
      </c>
      <c r="BD25">
        <f t="shared" si="7"/>
        <v>169.56</v>
      </c>
      <c r="BE25">
        <f t="shared" si="7"/>
        <v>170.1</v>
      </c>
      <c r="BF25">
        <f t="shared" si="7"/>
        <v>170.78</v>
      </c>
      <c r="BG25">
        <f t="shared" si="7"/>
        <v>171.68</v>
      </c>
      <c r="BH25">
        <f t="shared" si="7"/>
        <v>172.24</v>
      </c>
      <c r="BI25">
        <f t="shared" si="7"/>
        <v>172.45999999999998</v>
      </c>
      <c r="BJ25">
        <f t="shared" si="7"/>
        <v>172.98000000000002</v>
      </c>
      <c r="BK25">
        <f t="shared" si="7"/>
        <v>173.8</v>
      </c>
      <c r="BL25">
        <f t="shared" si="7"/>
        <v>173.76</v>
      </c>
      <c r="BM25">
        <f t="shared" si="7"/>
        <v>174.48</v>
      </c>
      <c r="BN25">
        <f t="shared" si="7"/>
        <v>175.09999999999997</v>
      </c>
      <c r="BQ25" s="3" t="s">
        <v>85</v>
      </c>
      <c r="BR25" s="3">
        <v>150.35833333333332</v>
      </c>
      <c r="BS25" s="3">
        <v>146.34</v>
      </c>
      <c r="BT25" s="3">
        <v>151.19999999999999</v>
      </c>
      <c r="BV25" s="3" t="s">
        <v>85</v>
      </c>
      <c r="BW25" s="18">
        <f t="shared" si="2"/>
        <v>-3.3143677843453243E-3</v>
      </c>
      <c r="BX25" s="18">
        <f t="shared" si="3"/>
        <v>5.3586150041220193E-3</v>
      </c>
      <c r="BY25" s="18">
        <f t="shared" si="0"/>
        <v>5.319148936170099E-3</v>
      </c>
      <c r="BZ25" s="3"/>
      <c r="CA25" s="3" t="s">
        <v>110</v>
      </c>
      <c r="CB25" s="3">
        <v>166.37500000000003</v>
      </c>
      <c r="CC25" s="3">
        <v>163.06</v>
      </c>
      <c r="CD25" s="3">
        <v>172.2</v>
      </c>
      <c r="CF25" s="3" t="s">
        <v>110</v>
      </c>
      <c r="CG25" s="18">
        <f t="shared" si="4"/>
        <v>-1.7000850042500307E-3</v>
      </c>
      <c r="CH25" s="18">
        <f t="shared" si="5"/>
        <v>5.3020961775586545E-3</v>
      </c>
      <c r="CI25" s="18">
        <f t="shared" si="6"/>
        <v>4.6674445740955833E-3</v>
      </c>
      <c r="DE25" t="s">
        <v>129</v>
      </c>
    </row>
    <row r="26" spans="1:109" x14ac:dyDescent="0.3">
      <c r="B26" t="s">
        <v>23</v>
      </c>
      <c r="C26">
        <f t="shared" si="8"/>
        <v>133.30000000000001</v>
      </c>
      <c r="D26">
        <f t="shared" si="7"/>
        <v>133.80000000000001</v>
      </c>
      <c r="E26">
        <f t="shared" si="7"/>
        <v>134.30000000000001</v>
      </c>
      <c r="F26">
        <f t="shared" si="7"/>
        <v>135.19999999999999</v>
      </c>
      <c r="G26">
        <f t="shared" si="7"/>
        <v>136</v>
      </c>
      <c r="H26">
        <f t="shared" si="7"/>
        <v>136.19999999999999</v>
      </c>
      <c r="I26">
        <f t="shared" si="7"/>
        <v>137</v>
      </c>
      <c r="J26">
        <f t="shared" si="7"/>
        <v>137.69999999999999</v>
      </c>
      <c r="K26">
        <f t="shared" si="7"/>
        <v>138.4</v>
      </c>
      <c r="L26">
        <f t="shared" si="7"/>
        <v>142.1</v>
      </c>
      <c r="M26">
        <f t="shared" si="7"/>
        <v>142.1</v>
      </c>
      <c r="N26">
        <f t="shared" si="7"/>
        <v>144.9</v>
      </c>
      <c r="O26">
        <f t="shared" si="7"/>
        <v>145.1</v>
      </c>
      <c r="P26">
        <f t="shared" si="7"/>
        <v>145.6</v>
      </c>
      <c r="Q26">
        <f t="shared" si="7"/>
        <v>146.19999999999999</v>
      </c>
      <c r="R26">
        <f t="shared" si="7"/>
        <v>146.9</v>
      </c>
      <c r="S26">
        <f t="shared" si="7"/>
        <v>147.4</v>
      </c>
      <c r="T26">
        <f t="shared" si="7"/>
        <v>147.9</v>
      </c>
      <c r="U26">
        <f t="shared" si="7"/>
        <v>148.5</v>
      </c>
      <c r="V26">
        <f t="shared" si="7"/>
        <v>149</v>
      </c>
      <c r="W26">
        <f t="shared" si="7"/>
        <v>149.4</v>
      </c>
      <c r="X26">
        <f t="shared" si="7"/>
        <v>149.9</v>
      </c>
      <c r="Y26">
        <f t="shared" si="7"/>
        <v>150.4</v>
      </c>
      <c r="Z26">
        <f t="shared" si="7"/>
        <v>151.19999999999999</v>
      </c>
      <c r="AA26">
        <f t="shared" si="7"/>
        <v>151.69999999999999</v>
      </c>
      <c r="AB26">
        <f t="shared" si="7"/>
        <v>152.30000000000001</v>
      </c>
      <c r="AC26">
        <f t="shared" si="7"/>
        <v>150.69999999999999</v>
      </c>
      <c r="AD26">
        <f t="shared" si="7"/>
        <v>152.55000000000001</v>
      </c>
      <c r="AE26">
        <f t="shared" si="7"/>
        <v>154.4</v>
      </c>
      <c r="AF26">
        <f t="shared" si="7"/>
        <v>154.4</v>
      </c>
      <c r="AG26">
        <f t="shared" si="7"/>
        <v>155</v>
      </c>
      <c r="AH26">
        <f t="shared" si="7"/>
        <v>155.6</v>
      </c>
      <c r="AI26">
        <f t="shared" si="7"/>
        <v>156.30000000000001</v>
      </c>
      <c r="AJ26">
        <f t="shared" si="7"/>
        <v>157.19999999999999</v>
      </c>
      <c r="AK26">
        <f t="shared" si="7"/>
        <v>158.30000000000001</v>
      </c>
      <c r="AL26">
        <f t="shared" si="7"/>
        <v>159.30000000000001</v>
      </c>
      <c r="AM26">
        <f t="shared" si="7"/>
        <v>161.30000000000001</v>
      </c>
      <c r="AN26">
        <f t="shared" si="7"/>
        <v>161.69999999999999</v>
      </c>
      <c r="AO26">
        <f t="shared" si="7"/>
        <v>162.30000000000001</v>
      </c>
      <c r="AP26">
        <f t="shared" si="7"/>
        <v>165.8</v>
      </c>
      <c r="AQ26">
        <f t="shared" si="7"/>
        <v>166.3</v>
      </c>
      <c r="AR26">
        <f t="shared" si="7"/>
        <v>167</v>
      </c>
      <c r="AS26">
        <f t="shared" si="7"/>
        <v>168.4</v>
      </c>
      <c r="AT26">
        <f t="shared" si="7"/>
        <v>168.4</v>
      </c>
      <c r="AU26">
        <f t="shared" si="7"/>
        <v>169.1</v>
      </c>
      <c r="AV26">
        <f t="shared" si="7"/>
        <v>169.9</v>
      </c>
      <c r="AW26">
        <f t="shared" si="7"/>
        <v>170.6</v>
      </c>
      <c r="AX26">
        <f t="shared" si="7"/>
        <v>171.4</v>
      </c>
      <c r="AY26">
        <f t="shared" si="7"/>
        <v>172.2</v>
      </c>
      <c r="AZ26">
        <f t="shared" si="7"/>
        <v>173</v>
      </c>
      <c r="BA26">
        <f t="shared" si="7"/>
        <v>174</v>
      </c>
      <c r="BB26">
        <f t="shared" si="7"/>
        <v>174.8</v>
      </c>
      <c r="BC26">
        <f t="shared" si="7"/>
        <v>175.4</v>
      </c>
      <c r="BD26">
        <f t="shared" si="7"/>
        <v>176.1</v>
      </c>
      <c r="BE26">
        <f t="shared" si="7"/>
        <v>176.8</v>
      </c>
      <c r="BF26">
        <f t="shared" si="7"/>
        <v>177.8</v>
      </c>
      <c r="BG26">
        <f t="shared" si="7"/>
        <v>178.7</v>
      </c>
      <c r="BH26">
        <f t="shared" si="7"/>
        <v>179.8</v>
      </c>
      <c r="BI26">
        <f t="shared" si="7"/>
        <v>181.1</v>
      </c>
      <c r="BJ26">
        <f t="shared" si="7"/>
        <v>182.3</v>
      </c>
      <c r="BK26">
        <f t="shared" si="7"/>
        <v>184.4</v>
      </c>
      <c r="BL26">
        <f t="shared" si="7"/>
        <v>184.4</v>
      </c>
      <c r="BM26">
        <f t="shared" si="7"/>
        <v>185</v>
      </c>
      <c r="BN26">
        <f t="shared" si="7"/>
        <v>185.7</v>
      </c>
      <c r="BQ26" s="3" t="s">
        <v>86</v>
      </c>
      <c r="BR26" s="3">
        <v>147.92499999999998</v>
      </c>
      <c r="BS26" s="3">
        <v>146.98000000000002</v>
      </c>
      <c r="BT26" s="3">
        <v>151.69999999999999</v>
      </c>
      <c r="BV26" s="3" t="s">
        <v>86</v>
      </c>
      <c r="BW26" s="18">
        <f t="shared" si="2"/>
        <v>-1.6183561491991381E-2</v>
      </c>
      <c r="BX26" s="18">
        <f t="shared" si="3"/>
        <v>4.3733770671041056E-3</v>
      </c>
      <c r="BY26" s="18">
        <f>(BT26-BT25)/BT25</f>
        <v>3.3068783068783071E-3</v>
      </c>
      <c r="BZ26" s="3"/>
      <c r="CA26" s="3" t="s">
        <v>111</v>
      </c>
      <c r="CB26" s="3">
        <v>168.2416666666667</v>
      </c>
      <c r="CC26" s="3">
        <v>163.84</v>
      </c>
      <c r="CD26" s="3">
        <v>173</v>
      </c>
      <c r="CF26" s="3" t="s">
        <v>111</v>
      </c>
      <c r="CG26" s="18">
        <f t="shared" si="4"/>
        <v>1.1219634360130272E-2</v>
      </c>
      <c r="CH26" s="18">
        <f t="shared" si="5"/>
        <v>4.7835152704526008E-3</v>
      </c>
      <c r="CI26" s="18">
        <f t="shared" si="6"/>
        <v>4.6457607433217848E-3</v>
      </c>
      <c r="CT26" t="s">
        <v>132</v>
      </c>
    </row>
    <row r="29" spans="1:109" x14ac:dyDescent="0.3">
      <c r="B29" t="s">
        <v>127</v>
      </c>
      <c r="C29" t="s">
        <v>74</v>
      </c>
      <c r="D29" t="s">
        <v>75</v>
      </c>
      <c r="E29" t="s">
        <v>62</v>
      </c>
      <c r="F29" t="s">
        <v>63</v>
      </c>
      <c r="G29" t="s">
        <v>64</v>
      </c>
      <c r="H29" t="s">
        <v>65</v>
      </c>
      <c r="I29" t="s">
        <v>66</v>
      </c>
      <c r="J29" t="s">
        <v>67</v>
      </c>
      <c r="K29" t="s">
        <v>68</v>
      </c>
      <c r="L29" t="s">
        <v>69</v>
      </c>
      <c r="M29" t="s">
        <v>70</v>
      </c>
      <c r="N29" t="s">
        <v>71</v>
      </c>
      <c r="O29" t="s">
        <v>72</v>
      </c>
      <c r="P29" t="s">
        <v>73</v>
      </c>
      <c r="Q29" t="s">
        <v>76</v>
      </c>
      <c r="R29" t="s">
        <v>77</v>
      </c>
      <c r="S29" t="s">
        <v>78</v>
      </c>
      <c r="T29" t="s">
        <v>79</v>
      </c>
      <c r="U29" t="s">
        <v>80</v>
      </c>
      <c r="V29" t="s">
        <v>81</v>
      </c>
      <c r="W29" t="s">
        <v>82</v>
      </c>
      <c r="X29" t="s">
        <v>83</v>
      </c>
      <c r="Y29" t="s">
        <v>84</v>
      </c>
      <c r="Z29" t="s">
        <v>85</v>
      </c>
      <c r="AA29" t="s">
        <v>86</v>
      </c>
      <c r="AB29" t="s">
        <v>87</v>
      </c>
      <c r="AC29" t="s">
        <v>88</v>
      </c>
      <c r="AD29" t="s">
        <v>89</v>
      </c>
      <c r="AE29" t="s">
        <v>90</v>
      </c>
      <c r="AF29" t="s">
        <v>91</v>
      </c>
      <c r="AG29" t="s">
        <v>92</v>
      </c>
      <c r="AH29" t="s">
        <v>93</v>
      </c>
      <c r="AI29" t="s">
        <v>94</v>
      </c>
      <c r="AJ29" t="s">
        <v>95</v>
      </c>
      <c r="AK29" t="s">
        <v>96</v>
      </c>
      <c r="AL29" t="s">
        <v>97</v>
      </c>
      <c r="AM29" t="s">
        <v>98</v>
      </c>
      <c r="AN29" t="s">
        <v>99</v>
      </c>
      <c r="AO29" t="s">
        <v>100</v>
      </c>
      <c r="AP29" t="s">
        <v>101</v>
      </c>
      <c r="AQ29" t="s">
        <v>102</v>
      </c>
      <c r="AR29" t="s">
        <v>103</v>
      </c>
      <c r="AS29" t="s">
        <v>104</v>
      </c>
      <c r="AT29" t="s">
        <v>105</v>
      </c>
      <c r="AU29" t="s">
        <v>106</v>
      </c>
      <c r="AV29" t="s">
        <v>107</v>
      </c>
      <c r="AW29" t="s">
        <v>108</v>
      </c>
      <c r="AX29" t="s">
        <v>109</v>
      </c>
      <c r="AY29" t="s">
        <v>110</v>
      </c>
      <c r="AZ29" t="s">
        <v>111</v>
      </c>
      <c r="BA29" t="s">
        <v>112</v>
      </c>
      <c r="BB29" t="s">
        <v>113</v>
      </c>
      <c r="BC29" t="s">
        <v>114</v>
      </c>
      <c r="BD29" t="s">
        <v>115</v>
      </c>
      <c r="BE29" t="s">
        <v>116</v>
      </c>
      <c r="BF29" t="s">
        <v>117</v>
      </c>
      <c r="BG29" t="s">
        <v>118</v>
      </c>
      <c r="BH29" t="s">
        <v>119</v>
      </c>
      <c r="BI29" t="s">
        <v>120</v>
      </c>
      <c r="BJ29" t="s">
        <v>121</v>
      </c>
      <c r="BK29" t="s">
        <v>122</v>
      </c>
      <c r="BL29" t="s">
        <v>123</v>
      </c>
      <c r="BM29" t="s">
        <v>124</v>
      </c>
      <c r="BN29" t="s">
        <v>125</v>
      </c>
    </row>
    <row r="30" spans="1:109" x14ac:dyDescent="0.3">
      <c r="B30" t="s">
        <v>48</v>
      </c>
      <c r="C30">
        <v>137.57500000000002</v>
      </c>
      <c r="D30">
        <v>135.98333333333332</v>
      </c>
      <c r="E30">
        <v>135.57500000000002</v>
      </c>
      <c r="F30">
        <v>135.62500000000003</v>
      </c>
      <c r="G30">
        <v>135.82499999999999</v>
      </c>
      <c r="H30">
        <v>136.98333333333335</v>
      </c>
      <c r="I30">
        <v>138.75</v>
      </c>
      <c r="J30">
        <v>138.9666666666667</v>
      </c>
      <c r="K30">
        <v>137.39166666666668</v>
      </c>
      <c r="L30">
        <v>136.88333333333335</v>
      </c>
      <c r="M30">
        <v>136.85000000000002</v>
      </c>
      <c r="N30">
        <v>135.74999999999997</v>
      </c>
      <c r="O30">
        <v>135.00833333333333</v>
      </c>
      <c r="P30">
        <v>135.29166666666666</v>
      </c>
      <c r="Q30">
        <v>135.76666666666668</v>
      </c>
      <c r="R30">
        <v>138.15833333333336</v>
      </c>
      <c r="S30">
        <v>139.99166666666667</v>
      </c>
      <c r="T30">
        <v>141.9</v>
      </c>
      <c r="U30">
        <v>142.63333333333333</v>
      </c>
      <c r="V30">
        <v>143.55833333333331</v>
      </c>
      <c r="W30">
        <v>145.87499999999997</v>
      </c>
      <c r="X30">
        <v>147.96666666666667</v>
      </c>
      <c r="Y30">
        <v>150.85833333333335</v>
      </c>
      <c r="Z30">
        <v>150.35833333333332</v>
      </c>
      <c r="AA30">
        <v>147.92499999999998</v>
      </c>
      <c r="AB30">
        <v>146.55833333333334</v>
      </c>
      <c r="AC30">
        <v>148.59</v>
      </c>
      <c r="AD30">
        <v>151.92604166666666</v>
      </c>
      <c r="AE30">
        <v>152.28333333333333</v>
      </c>
      <c r="AF30">
        <v>152.28333333333333</v>
      </c>
      <c r="AG30">
        <v>154.54999999999998</v>
      </c>
      <c r="AH30">
        <v>155.4</v>
      </c>
      <c r="AI30">
        <v>158.7166666666667</v>
      </c>
      <c r="AJ30">
        <v>162.42500000000001</v>
      </c>
      <c r="AK30">
        <v>163.32500000000002</v>
      </c>
      <c r="AL30">
        <v>160.39166666666665</v>
      </c>
      <c r="AM30">
        <v>156.98333333333335</v>
      </c>
      <c r="AN30">
        <v>156.90833333333333</v>
      </c>
      <c r="AO30">
        <v>158.875</v>
      </c>
      <c r="AP30">
        <v>162.20000000000002</v>
      </c>
      <c r="AQ30">
        <v>164.49166666666665</v>
      </c>
      <c r="AR30">
        <v>165.50833333333335</v>
      </c>
      <c r="AS30">
        <v>164.94166666666669</v>
      </c>
      <c r="AT30">
        <v>164.94166666666666</v>
      </c>
      <c r="AU30">
        <v>167.69166666666669</v>
      </c>
      <c r="AV30">
        <v>169.2</v>
      </c>
      <c r="AW30">
        <v>168.05833333333334</v>
      </c>
      <c r="AX30">
        <v>166.65833333333333</v>
      </c>
      <c r="AY30">
        <v>166.37500000000003</v>
      </c>
      <c r="AZ30">
        <v>168.2416666666667</v>
      </c>
      <c r="BA30">
        <v>170.67500000000004</v>
      </c>
      <c r="BB30">
        <v>172.65</v>
      </c>
      <c r="BC30">
        <v>174.5</v>
      </c>
      <c r="BD30">
        <v>174.82500000000002</v>
      </c>
      <c r="BE30">
        <v>175.03333333333333</v>
      </c>
      <c r="BF30">
        <v>175.95833333333334</v>
      </c>
      <c r="BG30">
        <v>177.28333333333333</v>
      </c>
      <c r="BH30">
        <v>177.19999999999996</v>
      </c>
      <c r="BI30">
        <v>176.03333333333333</v>
      </c>
      <c r="BJ30">
        <v>176.77500000000001</v>
      </c>
      <c r="BK30">
        <v>175.56666666666669</v>
      </c>
      <c r="BL30">
        <v>175.57499999999996</v>
      </c>
      <c r="BM30">
        <v>176.39166666666668</v>
      </c>
      <c r="BN30">
        <v>177.79166666666666</v>
      </c>
    </row>
    <row r="31" spans="1:109" x14ac:dyDescent="0.3">
      <c r="B31" t="s">
        <v>61</v>
      </c>
      <c r="C31">
        <v>134.04</v>
      </c>
      <c r="D31">
        <v>134.47999999999999</v>
      </c>
      <c r="E31">
        <v>134.98000000000002</v>
      </c>
      <c r="F31">
        <v>135.85999999999999</v>
      </c>
      <c r="G31">
        <v>136.5</v>
      </c>
      <c r="H31">
        <v>137</v>
      </c>
      <c r="I31">
        <v>138.04000000000002</v>
      </c>
      <c r="J31">
        <v>139.04</v>
      </c>
      <c r="K31">
        <v>139.9</v>
      </c>
      <c r="L31">
        <v>141.54000000000002</v>
      </c>
      <c r="M31">
        <v>141.5</v>
      </c>
      <c r="N31">
        <v>141.22</v>
      </c>
      <c r="O31">
        <v>140.85999999999999</v>
      </c>
      <c r="P31">
        <v>140.95999999999998</v>
      </c>
      <c r="Q31">
        <v>141.48000000000002</v>
      </c>
      <c r="R31">
        <v>142.12</v>
      </c>
      <c r="S31">
        <v>142.30000000000001</v>
      </c>
      <c r="T31">
        <v>142.73999999999998</v>
      </c>
      <c r="U31">
        <v>143.06</v>
      </c>
      <c r="V31">
        <v>143.45999999999998</v>
      </c>
      <c r="W31">
        <v>144.06</v>
      </c>
      <c r="X31">
        <v>144.64000000000001</v>
      </c>
      <c r="Y31">
        <v>145.56</v>
      </c>
      <c r="Z31">
        <v>146.34</v>
      </c>
      <c r="AA31">
        <v>146.98000000000002</v>
      </c>
      <c r="AB31">
        <v>147.16</v>
      </c>
      <c r="AC31">
        <v>149.85</v>
      </c>
      <c r="AD31">
        <v>147.45125000000002</v>
      </c>
      <c r="AE31">
        <v>146.88</v>
      </c>
      <c r="AF31">
        <v>146.88</v>
      </c>
      <c r="AG31">
        <v>148.78</v>
      </c>
      <c r="AH31">
        <v>149</v>
      </c>
      <c r="AI31">
        <v>149.47999999999999</v>
      </c>
      <c r="AJ31">
        <v>149.96</v>
      </c>
      <c r="AK31">
        <v>150.56</v>
      </c>
      <c r="AL31">
        <v>151.34</v>
      </c>
      <c r="AM31">
        <v>153.54000000000002</v>
      </c>
      <c r="AN31">
        <v>154.6</v>
      </c>
      <c r="AO31">
        <v>155.14000000000001</v>
      </c>
      <c r="AP31">
        <v>157.16</v>
      </c>
      <c r="AQ31">
        <v>157.5</v>
      </c>
      <c r="AR31">
        <v>158.85999999999999</v>
      </c>
      <c r="AS31">
        <v>160</v>
      </c>
      <c r="AT31">
        <v>159.98000000000002</v>
      </c>
      <c r="AU31">
        <v>161.15999999999997</v>
      </c>
      <c r="AV31">
        <v>161.30000000000001</v>
      </c>
      <c r="AW31">
        <v>161.56</v>
      </c>
      <c r="AX31">
        <v>162.19999999999999</v>
      </c>
      <c r="AY31">
        <v>163.06</v>
      </c>
      <c r="AZ31">
        <v>163.84</v>
      </c>
      <c r="BA31">
        <v>166.54</v>
      </c>
      <c r="BB31">
        <v>167.64</v>
      </c>
      <c r="BC31">
        <v>167.86</v>
      </c>
      <c r="BD31">
        <v>169.56</v>
      </c>
      <c r="BE31">
        <v>170.1</v>
      </c>
      <c r="BF31">
        <v>170.78</v>
      </c>
      <c r="BG31">
        <v>171.68</v>
      </c>
      <c r="BH31">
        <v>172.24</v>
      </c>
      <c r="BI31">
        <v>172.45999999999998</v>
      </c>
      <c r="BJ31">
        <v>172.98000000000002</v>
      </c>
      <c r="BK31">
        <v>173.8</v>
      </c>
      <c r="BL31">
        <v>173.76</v>
      </c>
      <c r="BM31">
        <v>174.48</v>
      </c>
      <c r="BN31">
        <v>175.09999999999997</v>
      </c>
    </row>
    <row r="32" spans="1:109" x14ac:dyDescent="0.3">
      <c r="B32" t="s">
        <v>23</v>
      </c>
      <c r="C32">
        <v>133.30000000000001</v>
      </c>
      <c r="D32">
        <v>133.80000000000001</v>
      </c>
      <c r="E32">
        <v>134.30000000000001</v>
      </c>
      <c r="F32">
        <v>135.19999999999999</v>
      </c>
      <c r="G32">
        <v>136</v>
      </c>
      <c r="H32">
        <v>136.19999999999999</v>
      </c>
      <c r="I32">
        <v>137</v>
      </c>
      <c r="J32">
        <v>137.69999999999999</v>
      </c>
      <c r="K32">
        <v>138.4</v>
      </c>
      <c r="L32">
        <v>142.1</v>
      </c>
      <c r="M32">
        <v>142.1</v>
      </c>
      <c r="N32">
        <v>144.9</v>
      </c>
      <c r="O32">
        <v>145.1</v>
      </c>
      <c r="P32">
        <v>145.6</v>
      </c>
      <c r="Q32">
        <v>146.19999999999999</v>
      </c>
      <c r="R32">
        <v>146.9</v>
      </c>
      <c r="S32">
        <v>147.4</v>
      </c>
      <c r="T32">
        <v>147.9</v>
      </c>
      <c r="U32">
        <v>148.5</v>
      </c>
      <c r="V32">
        <v>149</v>
      </c>
      <c r="W32">
        <v>149.4</v>
      </c>
      <c r="X32">
        <v>149.9</v>
      </c>
      <c r="Y32">
        <v>150.4</v>
      </c>
      <c r="Z32">
        <v>151.19999999999999</v>
      </c>
      <c r="AA32">
        <v>151.69999999999999</v>
      </c>
      <c r="AB32">
        <v>152.30000000000001</v>
      </c>
      <c r="AC32">
        <v>150.69999999999999</v>
      </c>
      <c r="AD32">
        <v>152.55000000000001</v>
      </c>
      <c r="AE32">
        <v>154.4</v>
      </c>
      <c r="AF32">
        <v>154.4</v>
      </c>
      <c r="AG32">
        <v>155</v>
      </c>
      <c r="AH32">
        <v>155.6</v>
      </c>
      <c r="AI32">
        <v>156.30000000000001</v>
      </c>
      <c r="AJ32">
        <v>157.19999999999999</v>
      </c>
      <c r="AK32">
        <v>158.30000000000001</v>
      </c>
      <c r="AL32">
        <v>159.30000000000001</v>
      </c>
      <c r="AM32">
        <v>161.30000000000001</v>
      </c>
      <c r="AN32">
        <v>161.69999999999999</v>
      </c>
      <c r="AO32">
        <v>162.30000000000001</v>
      </c>
      <c r="AP32">
        <v>165.8</v>
      </c>
      <c r="AQ32">
        <v>166.3</v>
      </c>
      <c r="AR32">
        <v>167</v>
      </c>
      <c r="AS32">
        <v>168.4</v>
      </c>
      <c r="AT32">
        <v>168.4</v>
      </c>
      <c r="AU32">
        <v>169.1</v>
      </c>
      <c r="AV32">
        <v>169.9</v>
      </c>
      <c r="AW32">
        <v>170.6</v>
      </c>
      <c r="AX32">
        <v>171.4</v>
      </c>
      <c r="AY32">
        <v>172.2</v>
      </c>
      <c r="AZ32">
        <v>173</v>
      </c>
      <c r="BA32">
        <v>174</v>
      </c>
      <c r="BB32">
        <v>174.8</v>
      </c>
      <c r="BC32">
        <v>175.4</v>
      </c>
      <c r="BD32">
        <v>176.1</v>
      </c>
      <c r="BE32">
        <v>176.8</v>
      </c>
      <c r="BF32">
        <v>177.8</v>
      </c>
      <c r="BG32">
        <v>178.7</v>
      </c>
      <c r="BH32">
        <v>179.8</v>
      </c>
      <c r="BI32">
        <v>181.1</v>
      </c>
      <c r="BJ32">
        <v>182.3</v>
      </c>
      <c r="BK32">
        <v>184.4</v>
      </c>
      <c r="BL32">
        <v>184.4</v>
      </c>
      <c r="BM32">
        <v>185</v>
      </c>
      <c r="BN32">
        <v>185.7</v>
      </c>
    </row>
  </sheetData>
  <mergeCells count="5">
    <mergeCell ref="CP4:CT4"/>
    <mergeCell ref="BQ1:BT1"/>
    <mergeCell ref="CA1:CD1"/>
    <mergeCell ref="BV1:BY1"/>
    <mergeCell ref="CF1:CI1"/>
  </mergeCells>
  <conditionalFormatting sqref="BW2:BW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4:BW2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X2:BX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4:BX2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:BY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Y4:BY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G2:CG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4:CG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H2:CH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4:CH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I2:CI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4:CI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245C-B4F2-41DA-92D7-C506CA53A7B8}">
  <dimension ref="A1:BH33"/>
  <sheetViews>
    <sheetView topLeftCell="AF1" workbookViewId="0">
      <selection activeCell="AJ3" sqref="AJ3"/>
    </sheetView>
  </sheetViews>
  <sheetFormatPr defaultRowHeight="14.4" x14ac:dyDescent="0.3"/>
  <cols>
    <col min="1" max="3" width="8.88671875" hidden="1" customWidth="1"/>
    <col min="4" max="4" width="10.77734375" hidden="1" customWidth="1"/>
    <col min="5" max="12" width="8.88671875" hidden="1" customWidth="1"/>
    <col min="13" max="13" width="3.33203125" hidden="1" customWidth="1"/>
    <col min="14" max="31" width="8.88671875" hidden="1" customWidth="1"/>
    <col min="34" max="36" width="14.6640625" customWidth="1"/>
    <col min="37" max="37" width="13.88671875" customWidth="1"/>
  </cols>
  <sheetData>
    <row r="1" spans="1:60" x14ac:dyDescent="0.3">
      <c r="AK1" s="10" t="s">
        <v>97</v>
      </c>
      <c r="AL1" s="10" t="s">
        <v>98</v>
      </c>
      <c r="AM1" s="10" t="s">
        <v>99</v>
      </c>
      <c r="AN1" s="10" t="s">
        <v>100</v>
      </c>
      <c r="AO1" s="10" t="s">
        <v>101</v>
      </c>
      <c r="AP1" s="10" t="s">
        <v>102</v>
      </c>
      <c r="AQ1" s="10" t="s">
        <v>103</v>
      </c>
      <c r="AR1" s="10" t="s">
        <v>104</v>
      </c>
      <c r="AS1" s="10" t="s">
        <v>105</v>
      </c>
      <c r="AT1" s="10" t="s">
        <v>106</v>
      </c>
      <c r="AU1" s="10" t="s">
        <v>107</v>
      </c>
      <c r="AV1" s="10" t="s">
        <v>108</v>
      </c>
      <c r="AW1" s="10" t="s">
        <v>109</v>
      </c>
      <c r="AX1" s="10" t="s">
        <v>110</v>
      </c>
      <c r="AY1" s="10" t="s">
        <v>111</v>
      </c>
      <c r="AZ1" s="10" t="s">
        <v>112</v>
      </c>
      <c r="BA1" s="10" t="s">
        <v>113</v>
      </c>
      <c r="BB1" s="10" t="s">
        <v>114</v>
      </c>
      <c r="BC1" s="10" t="s">
        <v>115</v>
      </c>
      <c r="BD1" s="10" t="s">
        <v>116</v>
      </c>
      <c r="BE1" s="10" t="s">
        <v>117</v>
      </c>
      <c r="BF1" s="10" t="s">
        <v>118</v>
      </c>
      <c r="BG1" s="10" t="s">
        <v>119</v>
      </c>
      <c r="BH1" s="10" t="s">
        <v>120</v>
      </c>
    </row>
    <row r="2" spans="1:60" ht="15.6" x14ac:dyDescent="0.3">
      <c r="AK2" s="29">
        <v>54.794569624999994</v>
      </c>
      <c r="AL2" s="29">
        <v>61.216117289473672</v>
      </c>
      <c r="AM2" s="29">
        <v>64.729496782608663</v>
      </c>
      <c r="AN2" s="29">
        <v>63.396976500000008</v>
      </c>
      <c r="AO2" s="29">
        <v>66.953084852941174</v>
      </c>
      <c r="AP2" s="29">
        <v>71.982647477272721</v>
      </c>
      <c r="AQ2" s="29">
        <v>73.539060523809511</v>
      </c>
      <c r="AR2" s="29">
        <v>69.804724424999989</v>
      </c>
      <c r="AS2" s="29">
        <v>73.130738295454549</v>
      </c>
      <c r="AT2" s="29">
        <v>82.107393785714294</v>
      </c>
      <c r="AU2" s="29">
        <v>80.637301023809528</v>
      </c>
      <c r="AV2" s="29">
        <v>73.298823523809531</v>
      </c>
      <c r="AW2" s="29">
        <v>84.666318799999985</v>
      </c>
      <c r="AX2" s="29">
        <v>94.067715194444446</v>
      </c>
      <c r="AY2" s="29">
        <v>112.87479254347826</v>
      </c>
      <c r="AZ2" s="29">
        <v>102.96599786842103</v>
      </c>
      <c r="BA2" s="29">
        <v>109.50503773684208</v>
      </c>
      <c r="BB2" s="29">
        <v>116.01138504999999</v>
      </c>
      <c r="BC2" s="29">
        <v>105.49124737500001</v>
      </c>
      <c r="BD2" s="29">
        <v>97.404465428571427</v>
      </c>
      <c r="BE2" s="29">
        <v>90.706344809523813</v>
      </c>
      <c r="BF2" s="29">
        <v>91.698948700000003</v>
      </c>
      <c r="BG2" s="29">
        <v>87.552266068181822</v>
      </c>
      <c r="BH2" s="29">
        <v>78.100942275000008</v>
      </c>
    </row>
    <row r="5" spans="1:60" x14ac:dyDescent="0.3">
      <c r="A5" s="1" t="s">
        <v>0</v>
      </c>
      <c r="B5" s="1" t="s">
        <v>1</v>
      </c>
      <c r="C5" s="1" t="s">
        <v>2</v>
      </c>
      <c r="D5" s="1" t="s">
        <v>130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G5" s="10" t="s">
        <v>0</v>
      </c>
      <c r="AH5" s="10" t="s">
        <v>151</v>
      </c>
      <c r="AI5" s="10" t="s">
        <v>47</v>
      </c>
      <c r="AJ5" s="10" t="s">
        <v>131</v>
      </c>
      <c r="AK5" s="10" t="s">
        <v>97</v>
      </c>
      <c r="AL5" s="10" t="s">
        <v>98</v>
      </c>
      <c r="AM5" s="10" t="s">
        <v>99</v>
      </c>
      <c r="AN5" s="10" t="s">
        <v>100</v>
      </c>
      <c r="AO5" s="10" t="s">
        <v>101</v>
      </c>
      <c r="AP5" s="10" t="s">
        <v>102</v>
      </c>
      <c r="AQ5" s="10" t="s">
        <v>103</v>
      </c>
      <c r="AR5" s="10" t="s">
        <v>104</v>
      </c>
      <c r="AS5" s="10" t="s">
        <v>105</v>
      </c>
      <c r="AT5" s="10" t="s">
        <v>106</v>
      </c>
      <c r="AU5" s="10" t="s">
        <v>107</v>
      </c>
      <c r="AV5" s="10" t="s">
        <v>108</v>
      </c>
      <c r="AW5" s="10" t="s">
        <v>109</v>
      </c>
      <c r="AX5" s="10" t="s">
        <v>110</v>
      </c>
      <c r="AY5" s="10" t="s">
        <v>111</v>
      </c>
      <c r="AZ5" s="10" t="s">
        <v>112</v>
      </c>
      <c r="BA5" s="10" t="s">
        <v>113</v>
      </c>
      <c r="BB5" s="10" t="s">
        <v>114</v>
      </c>
      <c r="BC5" s="10" t="s">
        <v>115</v>
      </c>
      <c r="BD5" s="10" t="s">
        <v>116</v>
      </c>
      <c r="BE5" s="10" t="s">
        <v>117</v>
      </c>
      <c r="BF5" s="10" t="s">
        <v>118</v>
      </c>
      <c r="BG5" s="10" t="s">
        <v>119</v>
      </c>
      <c r="BH5" s="10" t="s">
        <v>120</v>
      </c>
    </row>
    <row r="6" spans="1:60" x14ac:dyDescent="0.3">
      <c r="A6" t="s">
        <v>34</v>
      </c>
      <c r="B6">
        <v>2021</v>
      </c>
      <c r="C6" t="s">
        <v>31</v>
      </c>
      <c r="D6" t="s">
        <v>97</v>
      </c>
      <c r="E6">
        <v>144.9</v>
      </c>
      <c r="F6">
        <v>190.1</v>
      </c>
      <c r="G6">
        <v>175.3</v>
      </c>
      <c r="H6">
        <v>154.1</v>
      </c>
      <c r="I6">
        <v>150.9</v>
      </c>
      <c r="J6">
        <v>149.6</v>
      </c>
      <c r="K6">
        <v>194.2</v>
      </c>
      <c r="L6">
        <v>160.4</v>
      </c>
      <c r="M6">
        <v>114.6</v>
      </c>
      <c r="N6">
        <v>164</v>
      </c>
      <c r="O6">
        <v>151.80000000000001</v>
      </c>
      <c r="P6">
        <v>165.6</v>
      </c>
      <c r="Q6">
        <v>161</v>
      </c>
      <c r="R6">
        <v>186.5</v>
      </c>
      <c r="S6">
        <v>155.5</v>
      </c>
      <c r="T6">
        <v>146.1</v>
      </c>
      <c r="U6">
        <v>154.19999999999999</v>
      </c>
      <c r="V6">
        <v>157.69999999999999</v>
      </c>
      <c r="W6">
        <v>147.9</v>
      </c>
      <c r="X6">
        <v>150</v>
      </c>
      <c r="Y6">
        <v>159.30000000000001</v>
      </c>
      <c r="Z6">
        <v>141.9</v>
      </c>
      <c r="AA6">
        <v>149.6</v>
      </c>
      <c r="AB6">
        <v>159.19999999999999</v>
      </c>
      <c r="AC6">
        <v>156.80000000000001</v>
      </c>
      <c r="AD6">
        <v>151.9</v>
      </c>
      <c r="AE6">
        <v>157.30000000000001</v>
      </c>
      <c r="AG6" s="3" t="s">
        <v>34</v>
      </c>
      <c r="AH6" s="3" t="s">
        <v>48</v>
      </c>
      <c r="AI6" s="3" t="s">
        <v>4</v>
      </c>
      <c r="AJ6" s="30">
        <f t="shared" ref="AJ6:AJ31" si="0">CORREL($AK$2:$BH$2,AK6:BH6)</f>
        <v>0.84191192019168415</v>
      </c>
      <c r="AK6" s="3">
        <v>190.1</v>
      </c>
      <c r="AL6" s="3">
        <v>186.5</v>
      </c>
      <c r="AM6" s="3">
        <v>192.2</v>
      </c>
      <c r="AN6" s="3">
        <v>198</v>
      </c>
      <c r="AO6" s="3">
        <v>200.5</v>
      </c>
      <c r="AP6" s="3">
        <v>202</v>
      </c>
      <c r="AQ6" s="3">
        <v>206.8</v>
      </c>
      <c r="AR6" s="3">
        <v>204</v>
      </c>
      <c r="AS6" s="3">
        <v>204</v>
      </c>
      <c r="AT6" s="3">
        <v>204.6</v>
      </c>
      <c r="AU6" s="3">
        <v>201.6</v>
      </c>
      <c r="AV6" s="3">
        <v>198.8</v>
      </c>
      <c r="AW6" s="3">
        <v>198.7</v>
      </c>
      <c r="AX6" s="3">
        <v>200.6</v>
      </c>
      <c r="AY6" s="3">
        <v>210.7</v>
      </c>
      <c r="AZ6" s="3">
        <v>211.8</v>
      </c>
      <c r="BA6" s="3">
        <v>217</v>
      </c>
      <c r="BB6" s="3">
        <v>219.4</v>
      </c>
      <c r="BC6" s="3">
        <v>213</v>
      </c>
      <c r="BD6" s="3">
        <v>206.5</v>
      </c>
      <c r="BE6" s="3">
        <v>209.2</v>
      </c>
      <c r="BF6" s="3">
        <v>210.9</v>
      </c>
      <c r="BG6" s="3">
        <v>209.4</v>
      </c>
      <c r="BH6" s="3">
        <v>209</v>
      </c>
    </row>
    <row r="7" spans="1:60" x14ac:dyDescent="0.3">
      <c r="A7" t="s">
        <v>34</v>
      </c>
      <c r="B7">
        <v>2021</v>
      </c>
      <c r="C7" t="s">
        <v>35</v>
      </c>
      <c r="D7" t="s">
        <v>98</v>
      </c>
      <c r="E7">
        <v>144.30000000000001</v>
      </c>
      <c r="F7">
        <v>186.5</v>
      </c>
      <c r="G7">
        <v>168.7</v>
      </c>
      <c r="H7">
        <v>154.69999999999999</v>
      </c>
      <c r="I7">
        <v>158.69999999999999</v>
      </c>
      <c r="J7">
        <v>150.69999999999999</v>
      </c>
      <c r="K7">
        <v>160</v>
      </c>
      <c r="L7">
        <v>158.80000000000001</v>
      </c>
      <c r="M7">
        <v>112.8</v>
      </c>
      <c r="N7">
        <v>164.2</v>
      </c>
      <c r="O7">
        <v>155.5</v>
      </c>
      <c r="P7">
        <v>167.5</v>
      </c>
      <c r="Q7">
        <v>156.9</v>
      </c>
      <c r="R7">
        <v>188.3</v>
      </c>
      <c r="S7">
        <v>157.19999999999999</v>
      </c>
      <c r="T7">
        <v>147.4</v>
      </c>
      <c r="U7">
        <v>155.80000000000001</v>
      </c>
      <c r="V7">
        <v>159.80000000000001</v>
      </c>
      <c r="W7">
        <v>152.4</v>
      </c>
      <c r="X7">
        <v>150.9</v>
      </c>
      <c r="Y7">
        <v>161.30000000000001</v>
      </c>
      <c r="Z7">
        <v>145.1</v>
      </c>
      <c r="AA7">
        <v>151.5</v>
      </c>
      <c r="AB7">
        <v>159.5</v>
      </c>
      <c r="AC7">
        <v>155.80000000000001</v>
      </c>
      <c r="AD7">
        <v>153.4</v>
      </c>
      <c r="AE7">
        <v>156.6</v>
      </c>
      <c r="AG7" s="3" t="s">
        <v>34</v>
      </c>
      <c r="AH7" s="3" t="s">
        <v>48</v>
      </c>
      <c r="AI7" s="3" t="s">
        <v>7</v>
      </c>
      <c r="AJ7" s="30">
        <f t="shared" si="0"/>
        <v>0.82620259475660895</v>
      </c>
      <c r="AK7" s="3">
        <v>150.9</v>
      </c>
      <c r="AL7" s="3">
        <v>158.69999999999999</v>
      </c>
      <c r="AM7" s="3">
        <v>163.9</v>
      </c>
      <c r="AN7" s="3">
        <v>170.1</v>
      </c>
      <c r="AO7" s="3">
        <v>178.7</v>
      </c>
      <c r="AP7" s="3">
        <v>183.7</v>
      </c>
      <c r="AQ7" s="3">
        <v>182.1</v>
      </c>
      <c r="AR7" s="3">
        <v>188</v>
      </c>
      <c r="AS7" s="3">
        <v>188</v>
      </c>
      <c r="AT7" s="3">
        <v>190.6</v>
      </c>
      <c r="AU7" s="3">
        <v>190.1</v>
      </c>
      <c r="AV7" s="3">
        <v>187.6</v>
      </c>
      <c r="AW7" s="3">
        <v>184.7</v>
      </c>
      <c r="AX7" s="3">
        <v>184.9</v>
      </c>
      <c r="AY7" s="3">
        <v>194.6</v>
      </c>
      <c r="AZ7" s="3">
        <v>199.5</v>
      </c>
      <c r="BA7" s="3">
        <v>202.4</v>
      </c>
      <c r="BB7" s="3">
        <v>200.9</v>
      </c>
      <c r="BC7" s="3">
        <v>195.8</v>
      </c>
      <c r="BD7" s="3">
        <v>192.4</v>
      </c>
      <c r="BE7" s="3">
        <v>188.7</v>
      </c>
      <c r="BF7" s="3">
        <v>186.5</v>
      </c>
      <c r="BG7" s="3">
        <v>188.9</v>
      </c>
      <c r="BH7" s="3">
        <v>188.5</v>
      </c>
    </row>
    <row r="8" spans="1:60" x14ac:dyDescent="0.3">
      <c r="A8" t="s">
        <v>34</v>
      </c>
      <c r="B8">
        <v>2021</v>
      </c>
      <c r="C8" t="s">
        <v>36</v>
      </c>
      <c r="D8" t="s">
        <v>99</v>
      </c>
      <c r="E8">
        <v>144.1</v>
      </c>
      <c r="F8">
        <v>192.2</v>
      </c>
      <c r="G8">
        <v>163.80000000000001</v>
      </c>
      <c r="H8">
        <v>154.9</v>
      </c>
      <c r="I8">
        <v>163.9</v>
      </c>
      <c r="J8">
        <v>153.69999999999999</v>
      </c>
      <c r="K8">
        <v>149.5</v>
      </c>
      <c r="L8">
        <v>159.80000000000001</v>
      </c>
      <c r="M8">
        <v>112.6</v>
      </c>
      <c r="N8">
        <v>163.5</v>
      </c>
      <c r="O8">
        <v>156.5</v>
      </c>
      <c r="P8">
        <v>168.2</v>
      </c>
      <c r="Q8">
        <v>156.69999999999999</v>
      </c>
      <c r="R8">
        <v>188.1</v>
      </c>
      <c r="S8">
        <v>157.80000000000001</v>
      </c>
      <c r="T8">
        <v>147.9</v>
      </c>
      <c r="U8">
        <v>156.4</v>
      </c>
      <c r="V8">
        <v>159.9</v>
      </c>
      <c r="W8">
        <v>155.5</v>
      </c>
      <c r="X8">
        <v>151.19999999999999</v>
      </c>
      <c r="Y8">
        <v>161.69999999999999</v>
      </c>
      <c r="Z8">
        <v>146.19999999999999</v>
      </c>
      <c r="AA8">
        <v>152.6</v>
      </c>
      <c r="AB8">
        <v>160.19999999999999</v>
      </c>
      <c r="AC8">
        <v>153.80000000000001</v>
      </c>
      <c r="AD8">
        <v>153.80000000000001</v>
      </c>
      <c r="AE8">
        <v>156.80000000000001</v>
      </c>
      <c r="AG8" s="3" t="s">
        <v>34</v>
      </c>
      <c r="AH8" s="3" t="s">
        <v>24</v>
      </c>
      <c r="AI8" s="3" t="s">
        <v>24</v>
      </c>
      <c r="AJ8" s="30">
        <f t="shared" si="0"/>
        <v>0.81520166268737893</v>
      </c>
      <c r="AK8" s="3">
        <v>141.9</v>
      </c>
      <c r="AL8" s="3">
        <v>145.1</v>
      </c>
      <c r="AM8" s="3">
        <v>146.19999999999999</v>
      </c>
      <c r="AN8" s="3">
        <v>146.6</v>
      </c>
      <c r="AO8" s="3">
        <v>148.9</v>
      </c>
      <c r="AP8" s="3">
        <v>150.69999999999999</v>
      </c>
      <c r="AQ8" s="3">
        <v>153.1</v>
      </c>
      <c r="AR8" s="3">
        <v>154</v>
      </c>
      <c r="AS8" s="3">
        <v>154</v>
      </c>
      <c r="AT8" s="3">
        <v>155.69999999999999</v>
      </c>
      <c r="AU8" s="3">
        <v>154.80000000000001</v>
      </c>
      <c r="AV8" s="3">
        <v>155.69999999999999</v>
      </c>
      <c r="AW8" s="3">
        <v>156.5</v>
      </c>
      <c r="AX8" s="3">
        <v>156.9</v>
      </c>
      <c r="AY8" s="3">
        <v>157.9</v>
      </c>
      <c r="AZ8" s="3">
        <v>162.6</v>
      </c>
      <c r="BA8" s="3">
        <v>163</v>
      </c>
      <c r="BB8" s="3">
        <v>161.1</v>
      </c>
      <c r="BC8" s="3">
        <v>161.6</v>
      </c>
      <c r="BD8" s="3">
        <v>161.9</v>
      </c>
      <c r="BE8" s="3">
        <v>162.30000000000001</v>
      </c>
      <c r="BF8" s="3">
        <v>162.9</v>
      </c>
      <c r="BG8" s="3">
        <v>163</v>
      </c>
      <c r="BH8" s="3">
        <v>163.4</v>
      </c>
    </row>
    <row r="9" spans="1:60" x14ac:dyDescent="0.3">
      <c r="A9" t="s">
        <v>34</v>
      </c>
      <c r="B9">
        <v>2021</v>
      </c>
      <c r="C9" t="s">
        <v>37</v>
      </c>
      <c r="D9" t="s">
        <v>100</v>
      </c>
      <c r="E9">
        <v>144.30000000000001</v>
      </c>
      <c r="F9">
        <v>198</v>
      </c>
      <c r="G9">
        <v>164.6</v>
      </c>
      <c r="H9">
        <v>155.4</v>
      </c>
      <c r="I9">
        <v>170.1</v>
      </c>
      <c r="J9">
        <v>164.4</v>
      </c>
      <c r="K9">
        <v>144.1</v>
      </c>
      <c r="L9">
        <v>161.69999999999999</v>
      </c>
      <c r="M9">
        <v>113.1</v>
      </c>
      <c r="N9">
        <v>163.9</v>
      </c>
      <c r="O9">
        <v>157.6</v>
      </c>
      <c r="P9">
        <v>168.9</v>
      </c>
      <c r="Q9">
        <v>158</v>
      </c>
      <c r="R9">
        <v>188.8</v>
      </c>
      <c r="S9">
        <v>158.80000000000001</v>
      </c>
      <c r="T9">
        <v>148.5</v>
      </c>
      <c r="U9">
        <v>157.30000000000001</v>
      </c>
      <c r="V9">
        <v>161.4</v>
      </c>
      <c r="W9">
        <v>155.6</v>
      </c>
      <c r="X9">
        <v>151.80000000000001</v>
      </c>
      <c r="Y9">
        <v>162.30000000000001</v>
      </c>
      <c r="Z9">
        <v>146.6</v>
      </c>
      <c r="AA9">
        <v>153.19999999999999</v>
      </c>
      <c r="AB9">
        <v>160.30000000000001</v>
      </c>
      <c r="AC9">
        <v>155.4</v>
      </c>
      <c r="AD9">
        <v>154.4</v>
      </c>
      <c r="AE9">
        <v>157.80000000000001</v>
      </c>
      <c r="AG9" s="3" t="s">
        <v>34</v>
      </c>
      <c r="AH9" s="3" t="s">
        <v>49</v>
      </c>
      <c r="AI9" s="3" t="s">
        <v>25</v>
      </c>
      <c r="AJ9" s="30">
        <f t="shared" si="0"/>
        <v>0.78563045522865071</v>
      </c>
      <c r="AK9" s="3">
        <v>149.6</v>
      </c>
      <c r="AL9" s="3">
        <v>151.5</v>
      </c>
      <c r="AM9" s="3">
        <v>152.6</v>
      </c>
      <c r="AN9" s="3">
        <v>153.19999999999999</v>
      </c>
      <c r="AO9" s="3">
        <v>155.80000000000001</v>
      </c>
      <c r="AP9" s="3">
        <v>154.9</v>
      </c>
      <c r="AQ9" s="3">
        <v>155.30000000000001</v>
      </c>
      <c r="AR9" s="3">
        <v>157.6</v>
      </c>
      <c r="AS9" s="3">
        <v>157.69999999999999</v>
      </c>
      <c r="AT9" s="3">
        <v>158.6</v>
      </c>
      <c r="AU9" s="3">
        <v>159.80000000000001</v>
      </c>
      <c r="AV9" s="3">
        <v>160.6</v>
      </c>
      <c r="AW9" s="3">
        <v>161.19999999999999</v>
      </c>
      <c r="AX9" s="3">
        <v>162.1</v>
      </c>
      <c r="AY9" s="3">
        <v>163.30000000000001</v>
      </c>
      <c r="AZ9" s="3">
        <v>164.4</v>
      </c>
      <c r="BA9" s="3">
        <v>165.1</v>
      </c>
      <c r="BB9" s="3">
        <v>165.8</v>
      </c>
      <c r="BC9" s="3">
        <v>166.3</v>
      </c>
      <c r="BD9" s="3">
        <v>166.9</v>
      </c>
      <c r="BE9" s="3">
        <v>167.6</v>
      </c>
      <c r="BF9" s="3">
        <v>168.2</v>
      </c>
      <c r="BG9" s="3">
        <v>168.5</v>
      </c>
      <c r="BH9" s="3">
        <v>168.9</v>
      </c>
    </row>
    <row r="10" spans="1:60" x14ac:dyDescent="0.3">
      <c r="A10" t="s">
        <v>34</v>
      </c>
      <c r="B10">
        <v>2021</v>
      </c>
      <c r="C10" t="s">
        <v>38</v>
      </c>
      <c r="D10" t="s">
        <v>101</v>
      </c>
      <c r="E10">
        <v>146.30000000000001</v>
      </c>
      <c r="F10">
        <v>200.5</v>
      </c>
      <c r="G10">
        <v>170.3</v>
      </c>
      <c r="H10">
        <v>156.1</v>
      </c>
      <c r="I10">
        <v>178.7</v>
      </c>
      <c r="J10">
        <v>167.1</v>
      </c>
      <c r="K10">
        <v>147.9</v>
      </c>
      <c r="L10">
        <v>165.4</v>
      </c>
      <c r="M10">
        <v>114.8</v>
      </c>
      <c r="N10">
        <v>168.2</v>
      </c>
      <c r="O10">
        <v>159.30000000000001</v>
      </c>
      <c r="P10">
        <v>170.4</v>
      </c>
      <c r="Q10">
        <v>160.69999999999999</v>
      </c>
      <c r="R10">
        <v>191.9</v>
      </c>
      <c r="S10">
        <v>161.80000000000001</v>
      </c>
      <c r="T10">
        <v>152.1</v>
      </c>
      <c r="U10">
        <v>160.4</v>
      </c>
      <c r="V10">
        <v>161.6</v>
      </c>
      <c r="W10">
        <v>159.4</v>
      </c>
      <c r="X10">
        <v>154.69999999999999</v>
      </c>
      <c r="Y10">
        <v>165.8</v>
      </c>
      <c r="Z10">
        <v>148.9</v>
      </c>
      <c r="AA10">
        <v>155.80000000000001</v>
      </c>
      <c r="AB10">
        <v>161.19999999999999</v>
      </c>
      <c r="AC10">
        <v>158.6</v>
      </c>
      <c r="AD10">
        <v>156.80000000000001</v>
      </c>
      <c r="AE10">
        <v>160.4</v>
      </c>
      <c r="AG10" s="3" t="s">
        <v>34</v>
      </c>
      <c r="AH10" s="3" t="s">
        <v>50</v>
      </c>
      <c r="AI10" s="3" t="s">
        <v>28</v>
      </c>
      <c r="AJ10" s="30">
        <f t="shared" si="0"/>
        <v>0.76560004102965407</v>
      </c>
      <c r="AK10" s="3">
        <v>151.9</v>
      </c>
      <c r="AL10" s="3">
        <v>153.4</v>
      </c>
      <c r="AM10" s="3">
        <v>153.80000000000001</v>
      </c>
      <c r="AN10" s="3">
        <v>154.4</v>
      </c>
      <c r="AO10" s="3">
        <v>156.80000000000001</v>
      </c>
      <c r="AP10" s="3">
        <v>157.6</v>
      </c>
      <c r="AQ10" s="3">
        <v>159</v>
      </c>
      <c r="AR10" s="3">
        <v>160</v>
      </c>
      <c r="AS10" s="3">
        <v>160</v>
      </c>
      <c r="AT10" s="3">
        <v>161</v>
      </c>
      <c r="AU10" s="3">
        <v>161.4</v>
      </c>
      <c r="AV10" s="3">
        <v>162</v>
      </c>
      <c r="AW10" s="3">
        <v>162.69999999999999</v>
      </c>
      <c r="AX10" s="3">
        <v>163.5</v>
      </c>
      <c r="AY10" s="3">
        <v>164.6</v>
      </c>
      <c r="AZ10" s="3">
        <v>166.8</v>
      </c>
      <c r="BA10" s="3">
        <v>167.5</v>
      </c>
      <c r="BB10" s="3">
        <v>167.5</v>
      </c>
      <c r="BC10" s="3">
        <v>168.4</v>
      </c>
      <c r="BD10" s="3">
        <v>169.1</v>
      </c>
      <c r="BE10" s="3">
        <v>169.7</v>
      </c>
      <c r="BF10" s="3">
        <v>170.5</v>
      </c>
      <c r="BG10" s="3">
        <v>171.1</v>
      </c>
      <c r="BH10" s="3">
        <v>172</v>
      </c>
    </row>
    <row r="11" spans="1:60" x14ac:dyDescent="0.3">
      <c r="A11" t="s">
        <v>34</v>
      </c>
      <c r="B11">
        <v>2021</v>
      </c>
      <c r="C11" t="s">
        <v>39</v>
      </c>
      <c r="D11" t="s">
        <v>102</v>
      </c>
      <c r="E11">
        <v>146.69999999999999</v>
      </c>
      <c r="F11">
        <v>202</v>
      </c>
      <c r="G11">
        <v>180.7</v>
      </c>
      <c r="H11">
        <v>156.19999999999999</v>
      </c>
      <c r="I11">
        <v>183.7</v>
      </c>
      <c r="J11">
        <v>164.6</v>
      </c>
      <c r="K11">
        <v>155.4</v>
      </c>
      <c r="L11">
        <v>166</v>
      </c>
      <c r="M11">
        <v>115.1</v>
      </c>
      <c r="N11">
        <v>168.5</v>
      </c>
      <c r="O11">
        <v>160</v>
      </c>
      <c r="P11">
        <v>172.4</v>
      </c>
      <c r="Q11">
        <v>162.6</v>
      </c>
      <c r="R11">
        <v>190.8</v>
      </c>
      <c r="S11">
        <v>162.19999999999999</v>
      </c>
      <c r="T11">
        <v>151.80000000000001</v>
      </c>
      <c r="U11">
        <v>160.69999999999999</v>
      </c>
      <c r="V11">
        <v>160.5</v>
      </c>
      <c r="W11">
        <v>159.80000000000001</v>
      </c>
      <c r="X11">
        <v>154.80000000000001</v>
      </c>
      <c r="Y11">
        <v>166.3</v>
      </c>
      <c r="Z11">
        <v>150.69999999999999</v>
      </c>
      <c r="AA11">
        <v>154.9</v>
      </c>
      <c r="AB11">
        <v>161.69999999999999</v>
      </c>
      <c r="AC11">
        <v>158.80000000000001</v>
      </c>
      <c r="AD11">
        <v>157.6</v>
      </c>
      <c r="AE11">
        <v>161.30000000000001</v>
      </c>
      <c r="AG11" s="3" t="s">
        <v>34</v>
      </c>
      <c r="AH11" s="3" t="s">
        <v>49</v>
      </c>
      <c r="AI11" s="3" t="s">
        <v>13</v>
      </c>
      <c r="AJ11" s="30">
        <f t="shared" si="0"/>
        <v>0.75260403886846317</v>
      </c>
      <c r="AK11" s="3">
        <v>151.80000000000001</v>
      </c>
      <c r="AL11" s="3">
        <v>155.5</v>
      </c>
      <c r="AM11" s="3">
        <v>156.5</v>
      </c>
      <c r="AN11" s="3">
        <v>157.6</v>
      </c>
      <c r="AO11" s="3">
        <v>159.30000000000001</v>
      </c>
      <c r="AP11" s="3">
        <v>160</v>
      </c>
      <c r="AQ11" s="3">
        <v>160.9</v>
      </c>
      <c r="AR11" s="3">
        <v>162.69999999999999</v>
      </c>
      <c r="AS11" s="3">
        <v>162.69999999999999</v>
      </c>
      <c r="AT11" s="3">
        <v>163.19999999999999</v>
      </c>
      <c r="AU11" s="3">
        <v>163.69999999999999</v>
      </c>
      <c r="AV11" s="3">
        <v>164.2</v>
      </c>
      <c r="AW11" s="3">
        <v>164.3</v>
      </c>
      <c r="AX11" s="3">
        <v>164.7</v>
      </c>
      <c r="AY11" s="3">
        <v>165.3</v>
      </c>
      <c r="AZ11" s="3">
        <v>166.2</v>
      </c>
      <c r="BA11" s="3">
        <v>167.1</v>
      </c>
      <c r="BB11" s="3">
        <v>167.9</v>
      </c>
      <c r="BC11" s="3">
        <v>168.4</v>
      </c>
      <c r="BD11" s="3">
        <v>168.8</v>
      </c>
      <c r="BE11" s="3">
        <v>169.4</v>
      </c>
      <c r="BF11" s="3">
        <v>169.9</v>
      </c>
      <c r="BG11" s="3">
        <v>170.4</v>
      </c>
      <c r="BH11" s="3">
        <v>171</v>
      </c>
    </row>
    <row r="12" spans="1:60" x14ac:dyDescent="0.3">
      <c r="A12" t="s">
        <v>34</v>
      </c>
      <c r="B12">
        <v>2021</v>
      </c>
      <c r="C12" t="s">
        <v>40</v>
      </c>
      <c r="D12" t="s">
        <v>103</v>
      </c>
      <c r="E12">
        <v>146.4</v>
      </c>
      <c r="F12">
        <v>206.8</v>
      </c>
      <c r="G12">
        <v>182.2</v>
      </c>
      <c r="H12">
        <v>157.5</v>
      </c>
      <c r="I12">
        <v>182.1</v>
      </c>
      <c r="J12">
        <v>163.9</v>
      </c>
      <c r="K12">
        <v>164.2</v>
      </c>
      <c r="L12">
        <v>164</v>
      </c>
      <c r="M12">
        <v>114.5</v>
      </c>
      <c r="N12">
        <v>168.3</v>
      </c>
      <c r="O12">
        <v>160.9</v>
      </c>
      <c r="P12">
        <v>172.2</v>
      </c>
      <c r="Q12">
        <v>164</v>
      </c>
      <c r="R12">
        <v>191.2</v>
      </c>
      <c r="S12">
        <v>162.80000000000001</v>
      </c>
      <c r="T12">
        <v>153.1</v>
      </c>
      <c r="U12">
        <v>161.4</v>
      </c>
      <c r="V12">
        <v>161.5</v>
      </c>
      <c r="W12">
        <v>160.69999999999999</v>
      </c>
      <c r="X12">
        <v>155.80000000000001</v>
      </c>
      <c r="Y12">
        <v>167</v>
      </c>
      <c r="Z12">
        <v>153.1</v>
      </c>
      <c r="AA12">
        <v>155.30000000000001</v>
      </c>
      <c r="AB12">
        <v>163.19999999999999</v>
      </c>
      <c r="AC12">
        <v>160.1</v>
      </c>
      <c r="AD12">
        <v>159</v>
      </c>
      <c r="AE12">
        <v>162.5</v>
      </c>
      <c r="AG12" s="3" t="s">
        <v>34</v>
      </c>
      <c r="AH12" s="3" t="s">
        <v>17</v>
      </c>
      <c r="AI12" s="3" t="s">
        <v>18</v>
      </c>
      <c r="AJ12" s="30">
        <f t="shared" si="0"/>
        <v>0.74869562674882939</v>
      </c>
      <c r="AK12" s="3">
        <v>146.1</v>
      </c>
      <c r="AL12" s="3">
        <v>147.4</v>
      </c>
      <c r="AM12" s="3">
        <v>147.9</v>
      </c>
      <c r="AN12" s="3">
        <v>148.5</v>
      </c>
      <c r="AO12" s="3">
        <v>152.1</v>
      </c>
      <c r="AP12" s="3">
        <v>151.80000000000001</v>
      </c>
      <c r="AQ12" s="3">
        <v>153.1</v>
      </c>
      <c r="AR12" s="3">
        <v>155.30000000000001</v>
      </c>
      <c r="AS12" s="3">
        <v>155.30000000000001</v>
      </c>
      <c r="AT12" s="3">
        <v>156.30000000000001</v>
      </c>
      <c r="AU12" s="3">
        <v>157.4</v>
      </c>
      <c r="AV12" s="3">
        <v>158.69999999999999</v>
      </c>
      <c r="AW12" s="3">
        <v>160.69999999999999</v>
      </c>
      <c r="AX12" s="3">
        <v>162.4</v>
      </c>
      <c r="AY12" s="3">
        <v>164.6</v>
      </c>
      <c r="AZ12" s="3">
        <v>166.5</v>
      </c>
      <c r="BA12" s="3">
        <v>168.4</v>
      </c>
      <c r="BB12" s="3">
        <v>169.9</v>
      </c>
      <c r="BC12" s="3">
        <v>171.3</v>
      </c>
      <c r="BD12" s="3">
        <v>172.7</v>
      </c>
      <c r="BE12" s="3">
        <v>174.3</v>
      </c>
      <c r="BF12" s="3">
        <v>175.3</v>
      </c>
      <c r="BG12" s="3">
        <v>176.2</v>
      </c>
      <c r="BH12" s="3">
        <v>177</v>
      </c>
    </row>
    <row r="13" spans="1:60" x14ac:dyDescent="0.3">
      <c r="A13" t="s">
        <v>34</v>
      </c>
      <c r="B13">
        <v>2021</v>
      </c>
      <c r="C13" t="s">
        <v>42</v>
      </c>
      <c r="D13" t="s">
        <v>105</v>
      </c>
      <c r="E13">
        <v>146.6</v>
      </c>
      <c r="F13">
        <v>204</v>
      </c>
      <c r="G13">
        <v>172.8</v>
      </c>
      <c r="H13">
        <v>158.4</v>
      </c>
      <c r="I13">
        <v>188</v>
      </c>
      <c r="J13">
        <v>156.69999999999999</v>
      </c>
      <c r="K13">
        <v>162.30000000000001</v>
      </c>
      <c r="L13">
        <v>164.1</v>
      </c>
      <c r="M13">
        <v>119.7</v>
      </c>
      <c r="N13">
        <v>168.8</v>
      </c>
      <c r="O13">
        <v>162.69999999999999</v>
      </c>
      <c r="P13">
        <v>173.9</v>
      </c>
      <c r="Q13">
        <v>164</v>
      </c>
      <c r="R13">
        <v>192.1</v>
      </c>
      <c r="S13">
        <v>164.6</v>
      </c>
      <c r="T13">
        <v>155.30000000000001</v>
      </c>
      <c r="U13">
        <v>163.30000000000001</v>
      </c>
      <c r="V13">
        <v>162.1</v>
      </c>
      <c r="W13">
        <v>162.6</v>
      </c>
      <c r="X13">
        <v>157.5</v>
      </c>
      <c r="Y13">
        <v>168.4</v>
      </c>
      <c r="Z13">
        <v>154</v>
      </c>
      <c r="AA13">
        <v>157.69999999999999</v>
      </c>
      <c r="AB13">
        <v>163.69999999999999</v>
      </c>
      <c r="AC13">
        <v>160</v>
      </c>
      <c r="AD13">
        <v>160</v>
      </c>
      <c r="AE13">
        <v>163.19999999999999</v>
      </c>
      <c r="AG13" s="3" t="s">
        <v>34</v>
      </c>
      <c r="AH13" s="3" t="s">
        <v>17</v>
      </c>
      <c r="AI13" s="3" t="s">
        <v>19</v>
      </c>
      <c r="AJ13" s="30">
        <f t="shared" si="0"/>
        <v>0.7393580301817575</v>
      </c>
      <c r="AK13" s="3">
        <v>154.19999999999999</v>
      </c>
      <c r="AL13" s="3">
        <v>155.80000000000001</v>
      </c>
      <c r="AM13" s="3">
        <v>156.4</v>
      </c>
      <c r="AN13" s="3">
        <v>157.30000000000001</v>
      </c>
      <c r="AO13" s="3">
        <v>160.4</v>
      </c>
      <c r="AP13" s="3">
        <v>160.69999999999999</v>
      </c>
      <c r="AQ13" s="3">
        <v>161.4</v>
      </c>
      <c r="AR13" s="3">
        <v>163.19999999999999</v>
      </c>
      <c r="AS13" s="3">
        <v>163.30000000000001</v>
      </c>
      <c r="AT13" s="3">
        <v>164.3</v>
      </c>
      <c r="AU13" s="3">
        <v>165.8</v>
      </c>
      <c r="AV13" s="3">
        <v>167</v>
      </c>
      <c r="AW13" s="3">
        <v>168.5</v>
      </c>
      <c r="AX13" s="3">
        <v>169.6</v>
      </c>
      <c r="AY13" s="3">
        <v>171.1</v>
      </c>
      <c r="AZ13" s="3">
        <v>172.8</v>
      </c>
      <c r="BA13" s="3">
        <v>174.6</v>
      </c>
      <c r="BB13" s="3">
        <v>176</v>
      </c>
      <c r="BC13" s="3">
        <v>177.3</v>
      </c>
      <c r="BD13" s="3">
        <v>178.5</v>
      </c>
      <c r="BE13" s="3">
        <v>179.9</v>
      </c>
      <c r="BF13" s="3">
        <v>181</v>
      </c>
      <c r="BG13" s="3">
        <v>182.1</v>
      </c>
      <c r="BH13" s="3">
        <v>183</v>
      </c>
    </row>
    <row r="14" spans="1:60" x14ac:dyDescent="0.3">
      <c r="A14" t="s">
        <v>34</v>
      </c>
      <c r="B14">
        <v>2021</v>
      </c>
      <c r="C14" t="s">
        <v>43</v>
      </c>
      <c r="D14" t="s">
        <v>106</v>
      </c>
      <c r="E14">
        <v>147.4</v>
      </c>
      <c r="F14">
        <v>204.6</v>
      </c>
      <c r="G14">
        <v>171.2</v>
      </c>
      <c r="H14">
        <v>158.69999999999999</v>
      </c>
      <c r="I14">
        <v>190.6</v>
      </c>
      <c r="J14">
        <v>155.69999999999999</v>
      </c>
      <c r="K14">
        <v>185.3</v>
      </c>
      <c r="L14">
        <v>165.2</v>
      </c>
      <c r="M14">
        <v>121.9</v>
      </c>
      <c r="N14">
        <v>169.3</v>
      </c>
      <c r="O14">
        <v>163.19999999999999</v>
      </c>
      <c r="P14">
        <v>174.7</v>
      </c>
      <c r="Q14">
        <v>167.7</v>
      </c>
      <c r="R14">
        <v>192.7</v>
      </c>
      <c r="S14">
        <v>165.7</v>
      </c>
      <c r="T14">
        <v>156.30000000000001</v>
      </c>
      <c r="U14">
        <v>164.3</v>
      </c>
      <c r="V14">
        <v>163.6</v>
      </c>
      <c r="W14">
        <v>164.2</v>
      </c>
      <c r="X14">
        <v>158.4</v>
      </c>
      <c r="Y14">
        <v>169.1</v>
      </c>
      <c r="Z14">
        <v>155.69999999999999</v>
      </c>
      <c r="AA14">
        <v>158.6</v>
      </c>
      <c r="AB14">
        <v>163.9</v>
      </c>
      <c r="AC14">
        <v>160.80000000000001</v>
      </c>
      <c r="AD14">
        <v>161</v>
      </c>
      <c r="AE14">
        <v>165.5</v>
      </c>
      <c r="AG14" s="3" t="s">
        <v>34</v>
      </c>
      <c r="AH14" s="3" t="s">
        <v>23</v>
      </c>
      <c r="AI14" s="3" t="s">
        <v>23</v>
      </c>
      <c r="AJ14" s="30">
        <f t="shared" si="0"/>
        <v>0.73881995293995806</v>
      </c>
      <c r="AK14" s="3">
        <v>159.30000000000001</v>
      </c>
      <c r="AL14" s="3">
        <v>161.30000000000001</v>
      </c>
      <c r="AM14" s="3">
        <v>161.69999999999999</v>
      </c>
      <c r="AN14" s="3">
        <v>162.30000000000001</v>
      </c>
      <c r="AO14" s="3">
        <v>165.8</v>
      </c>
      <c r="AP14" s="3">
        <v>166.3</v>
      </c>
      <c r="AQ14" s="3">
        <v>167</v>
      </c>
      <c r="AR14" s="3">
        <v>168.4</v>
      </c>
      <c r="AS14" s="3">
        <v>168.4</v>
      </c>
      <c r="AT14" s="3">
        <v>169.1</v>
      </c>
      <c r="AU14" s="3">
        <v>169.9</v>
      </c>
      <c r="AV14" s="3">
        <v>170.6</v>
      </c>
      <c r="AW14" s="3">
        <v>171.4</v>
      </c>
      <c r="AX14" s="3">
        <v>172.2</v>
      </c>
      <c r="AY14" s="3">
        <v>173</v>
      </c>
      <c r="AZ14" s="3">
        <v>174</v>
      </c>
      <c r="BA14" s="3">
        <v>174.8</v>
      </c>
      <c r="BB14" s="3">
        <v>175.4</v>
      </c>
      <c r="BC14" s="3">
        <v>176.1</v>
      </c>
      <c r="BD14" s="3">
        <v>176.8</v>
      </c>
      <c r="BE14" s="3">
        <v>177.8</v>
      </c>
      <c r="BF14" s="3">
        <v>178.7</v>
      </c>
      <c r="BG14" s="3">
        <v>179.8</v>
      </c>
      <c r="BH14" s="3">
        <v>181.1</v>
      </c>
    </row>
    <row r="15" spans="1:60" x14ac:dyDescent="0.3">
      <c r="A15" t="s">
        <v>34</v>
      </c>
      <c r="B15">
        <v>2021</v>
      </c>
      <c r="C15" t="s">
        <v>44</v>
      </c>
      <c r="D15" t="s">
        <v>107</v>
      </c>
      <c r="E15">
        <v>148.19999999999999</v>
      </c>
      <c r="F15">
        <v>201.6</v>
      </c>
      <c r="G15">
        <v>173</v>
      </c>
      <c r="H15">
        <v>159.30000000000001</v>
      </c>
      <c r="I15">
        <v>190.1</v>
      </c>
      <c r="J15">
        <v>156.5</v>
      </c>
      <c r="K15">
        <v>199.2</v>
      </c>
      <c r="L15">
        <v>165.3</v>
      </c>
      <c r="M15">
        <v>122.4</v>
      </c>
      <c r="N15">
        <v>169.6</v>
      </c>
      <c r="O15">
        <v>163.69999999999999</v>
      </c>
      <c r="P15">
        <v>175.5</v>
      </c>
      <c r="Q15">
        <v>169.7</v>
      </c>
      <c r="R15">
        <v>192.9</v>
      </c>
      <c r="S15">
        <v>167.2</v>
      </c>
      <c r="T15">
        <v>157.4</v>
      </c>
      <c r="U15">
        <v>165.8</v>
      </c>
      <c r="V15">
        <v>164.2</v>
      </c>
      <c r="W15">
        <v>163.9</v>
      </c>
      <c r="X15">
        <v>159.30000000000001</v>
      </c>
      <c r="Y15">
        <v>169.9</v>
      </c>
      <c r="Z15">
        <v>154.80000000000001</v>
      </c>
      <c r="AA15">
        <v>159.80000000000001</v>
      </c>
      <c r="AB15">
        <v>164.3</v>
      </c>
      <c r="AC15">
        <v>162.19999999999999</v>
      </c>
      <c r="AD15">
        <v>161.4</v>
      </c>
      <c r="AE15">
        <v>166.7</v>
      </c>
      <c r="AG15" s="3" t="s">
        <v>34</v>
      </c>
      <c r="AH15" s="3" t="s">
        <v>17</v>
      </c>
      <c r="AI15" s="3" t="s">
        <v>17</v>
      </c>
      <c r="AJ15" s="30">
        <f t="shared" si="0"/>
        <v>0.73718735666666269</v>
      </c>
      <c r="AK15" s="3">
        <v>155.5</v>
      </c>
      <c r="AL15" s="3">
        <v>157.19999999999999</v>
      </c>
      <c r="AM15" s="3">
        <v>157.80000000000001</v>
      </c>
      <c r="AN15" s="3">
        <v>158.80000000000001</v>
      </c>
      <c r="AO15" s="3">
        <v>161.80000000000001</v>
      </c>
      <c r="AP15" s="3">
        <v>162.19999999999999</v>
      </c>
      <c r="AQ15" s="3">
        <v>162.80000000000001</v>
      </c>
      <c r="AR15" s="3">
        <v>164.5</v>
      </c>
      <c r="AS15" s="3">
        <v>164.6</v>
      </c>
      <c r="AT15" s="3">
        <v>165.7</v>
      </c>
      <c r="AU15" s="3">
        <v>167.2</v>
      </c>
      <c r="AV15" s="3">
        <v>168.5</v>
      </c>
      <c r="AW15" s="3">
        <v>169.9</v>
      </c>
      <c r="AX15" s="3">
        <v>170.8</v>
      </c>
      <c r="AY15" s="3">
        <v>172.1</v>
      </c>
      <c r="AZ15" s="3">
        <v>173.9</v>
      </c>
      <c r="BA15" s="3">
        <v>175.6</v>
      </c>
      <c r="BB15" s="3">
        <v>177.1</v>
      </c>
      <c r="BC15" s="3">
        <v>178.3</v>
      </c>
      <c r="BD15" s="3">
        <v>179.5</v>
      </c>
      <c r="BE15" s="3">
        <v>180.9</v>
      </c>
      <c r="BF15" s="3">
        <v>181.9</v>
      </c>
      <c r="BG15" s="3">
        <v>183.1</v>
      </c>
      <c r="BH15" s="3">
        <v>184</v>
      </c>
    </row>
    <row r="16" spans="1:60" x14ac:dyDescent="0.3">
      <c r="A16" t="s">
        <v>34</v>
      </c>
      <c r="B16">
        <v>2021</v>
      </c>
      <c r="C16" t="s">
        <v>45</v>
      </c>
      <c r="D16" t="s">
        <v>108</v>
      </c>
      <c r="E16">
        <v>148.69999999999999</v>
      </c>
      <c r="F16">
        <v>198.8</v>
      </c>
      <c r="G16">
        <v>177.9</v>
      </c>
      <c r="H16">
        <v>159.9</v>
      </c>
      <c r="I16">
        <v>187.6</v>
      </c>
      <c r="J16">
        <v>154.9</v>
      </c>
      <c r="K16">
        <v>188.3</v>
      </c>
      <c r="L16">
        <v>164.4</v>
      </c>
      <c r="M16">
        <v>121</v>
      </c>
      <c r="N16">
        <v>170.5</v>
      </c>
      <c r="O16">
        <v>164.2</v>
      </c>
      <c r="P16">
        <v>176.5</v>
      </c>
      <c r="Q16">
        <v>168.2</v>
      </c>
      <c r="R16">
        <v>192.4</v>
      </c>
      <c r="S16">
        <v>168.5</v>
      </c>
      <c r="T16">
        <v>158.69999999999999</v>
      </c>
      <c r="U16">
        <v>167</v>
      </c>
      <c r="V16">
        <v>163.4</v>
      </c>
      <c r="W16">
        <v>164.1</v>
      </c>
      <c r="X16">
        <v>160.19999999999999</v>
      </c>
      <c r="Y16">
        <v>170.6</v>
      </c>
      <c r="Z16">
        <v>155.69999999999999</v>
      </c>
      <c r="AA16">
        <v>160.6</v>
      </c>
      <c r="AB16">
        <v>164.4</v>
      </c>
      <c r="AC16">
        <v>162.6</v>
      </c>
      <c r="AD16">
        <v>162</v>
      </c>
      <c r="AE16">
        <v>166.2</v>
      </c>
      <c r="AG16" s="3" t="s">
        <v>34</v>
      </c>
      <c r="AH16" s="3" t="s">
        <v>21</v>
      </c>
      <c r="AI16" s="3" t="s">
        <v>21</v>
      </c>
      <c r="AJ16" s="30">
        <f t="shared" si="0"/>
        <v>0.73695384515053841</v>
      </c>
      <c r="AK16" s="3">
        <v>147.9</v>
      </c>
      <c r="AL16" s="3">
        <v>152.4</v>
      </c>
      <c r="AM16" s="3">
        <v>155.5</v>
      </c>
      <c r="AN16" s="3">
        <v>155.6</v>
      </c>
      <c r="AO16" s="3">
        <v>159.4</v>
      </c>
      <c r="AP16" s="3">
        <v>159.80000000000001</v>
      </c>
      <c r="AQ16" s="3">
        <v>160.69999999999999</v>
      </c>
      <c r="AR16" s="3">
        <v>162.6</v>
      </c>
      <c r="AS16" s="3">
        <v>162.6</v>
      </c>
      <c r="AT16" s="3">
        <v>164.2</v>
      </c>
      <c r="AU16" s="3">
        <v>163.9</v>
      </c>
      <c r="AV16" s="3">
        <v>164.1</v>
      </c>
      <c r="AW16" s="3">
        <v>164.2</v>
      </c>
      <c r="AX16" s="3">
        <v>165.7</v>
      </c>
      <c r="AY16" s="3">
        <v>167.2</v>
      </c>
      <c r="AZ16" s="3">
        <v>172.2</v>
      </c>
      <c r="BA16" s="3">
        <v>174.6</v>
      </c>
      <c r="BB16" s="3">
        <v>176</v>
      </c>
      <c r="BC16" s="3">
        <v>179.6</v>
      </c>
      <c r="BD16" s="3">
        <v>178.8</v>
      </c>
      <c r="BE16" s="3">
        <v>179.5</v>
      </c>
      <c r="BF16" s="3">
        <v>180.5</v>
      </c>
      <c r="BG16" s="3">
        <v>181.3</v>
      </c>
      <c r="BH16" s="3">
        <v>182</v>
      </c>
    </row>
    <row r="17" spans="1:60" x14ac:dyDescent="0.3">
      <c r="A17" t="s">
        <v>34</v>
      </c>
      <c r="B17">
        <v>2022</v>
      </c>
      <c r="C17" t="s">
        <v>31</v>
      </c>
      <c r="D17" t="s">
        <v>109</v>
      </c>
      <c r="E17">
        <v>149.5</v>
      </c>
      <c r="F17">
        <v>198.7</v>
      </c>
      <c r="G17">
        <v>178.8</v>
      </c>
      <c r="H17">
        <v>160.5</v>
      </c>
      <c r="I17">
        <v>184.7</v>
      </c>
      <c r="J17">
        <v>153.69999999999999</v>
      </c>
      <c r="K17">
        <v>174.3</v>
      </c>
      <c r="L17">
        <v>163.9</v>
      </c>
      <c r="M17">
        <v>120</v>
      </c>
      <c r="N17">
        <v>172.1</v>
      </c>
      <c r="O17">
        <v>164.3</v>
      </c>
      <c r="P17">
        <v>177.3</v>
      </c>
      <c r="Q17">
        <v>166.4</v>
      </c>
      <c r="R17">
        <v>192.2</v>
      </c>
      <c r="S17">
        <v>169.9</v>
      </c>
      <c r="T17">
        <v>160.69999999999999</v>
      </c>
      <c r="U17">
        <v>168.5</v>
      </c>
      <c r="V17">
        <v>164.5</v>
      </c>
      <c r="W17">
        <v>164.2</v>
      </c>
      <c r="X17">
        <v>161.1</v>
      </c>
      <c r="Y17">
        <v>171.4</v>
      </c>
      <c r="Z17">
        <v>156.5</v>
      </c>
      <c r="AA17">
        <v>161.19999999999999</v>
      </c>
      <c r="AB17">
        <v>164.7</v>
      </c>
      <c r="AC17">
        <v>163</v>
      </c>
      <c r="AD17">
        <v>162.69999999999999</v>
      </c>
      <c r="AE17">
        <v>165.7</v>
      </c>
      <c r="AG17" s="3" t="s">
        <v>34</v>
      </c>
      <c r="AH17" s="3" t="s">
        <v>49</v>
      </c>
      <c r="AI17" s="3" t="s">
        <v>27</v>
      </c>
      <c r="AJ17" s="30">
        <f t="shared" si="0"/>
        <v>0.73372084561697026</v>
      </c>
      <c r="AK17" s="3">
        <v>156.80000000000001</v>
      </c>
      <c r="AL17" s="3">
        <v>155.80000000000001</v>
      </c>
      <c r="AM17" s="3">
        <v>153.80000000000001</v>
      </c>
      <c r="AN17" s="3">
        <v>155.4</v>
      </c>
      <c r="AO17" s="3">
        <v>158.6</v>
      </c>
      <c r="AP17" s="3">
        <v>158.80000000000001</v>
      </c>
      <c r="AQ17" s="3">
        <v>160.1</v>
      </c>
      <c r="AR17" s="3">
        <v>160</v>
      </c>
      <c r="AS17" s="3">
        <v>160</v>
      </c>
      <c r="AT17" s="3">
        <v>160.80000000000001</v>
      </c>
      <c r="AU17" s="3">
        <v>162.19999999999999</v>
      </c>
      <c r="AV17" s="3">
        <v>162.6</v>
      </c>
      <c r="AW17" s="3">
        <v>163</v>
      </c>
      <c r="AX17" s="3">
        <v>164.4</v>
      </c>
      <c r="AY17" s="3">
        <v>167.2</v>
      </c>
      <c r="AZ17" s="3">
        <v>168.8</v>
      </c>
      <c r="BA17" s="3">
        <v>168.4</v>
      </c>
      <c r="BB17" s="3">
        <v>169.4</v>
      </c>
      <c r="BC17" s="3">
        <v>169.7</v>
      </c>
      <c r="BD17" s="3">
        <v>171.2</v>
      </c>
      <c r="BE17" s="3">
        <v>170.9</v>
      </c>
      <c r="BF17" s="3">
        <v>172.1</v>
      </c>
      <c r="BG17" s="3">
        <v>173.6</v>
      </c>
      <c r="BH17" s="3">
        <v>175.8</v>
      </c>
    </row>
    <row r="18" spans="1:60" x14ac:dyDescent="0.3">
      <c r="A18" t="s">
        <v>34</v>
      </c>
      <c r="B18">
        <v>2022</v>
      </c>
      <c r="C18" t="s">
        <v>35</v>
      </c>
      <c r="D18" t="s">
        <v>110</v>
      </c>
      <c r="E18">
        <v>150</v>
      </c>
      <c r="F18">
        <v>200.6</v>
      </c>
      <c r="G18">
        <v>175.8</v>
      </c>
      <c r="H18">
        <v>160.69999999999999</v>
      </c>
      <c r="I18">
        <v>184.9</v>
      </c>
      <c r="J18">
        <v>153.69999999999999</v>
      </c>
      <c r="K18">
        <v>169.7</v>
      </c>
      <c r="L18">
        <v>163.69999999999999</v>
      </c>
      <c r="M18">
        <v>118.9</v>
      </c>
      <c r="N18">
        <v>174.3</v>
      </c>
      <c r="O18">
        <v>164.7</v>
      </c>
      <c r="P18">
        <v>178</v>
      </c>
      <c r="Q18">
        <v>166.2</v>
      </c>
      <c r="R18">
        <v>192.8</v>
      </c>
      <c r="S18">
        <v>170.8</v>
      </c>
      <c r="T18">
        <v>162.4</v>
      </c>
      <c r="U18">
        <v>169.6</v>
      </c>
      <c r="V18">
        <v>165.5</v>
      </c>
      <c r="W18">
        <v>165.7</v>
      </c>
      <c r="X18">
        <v>161.80000000000001</v>
      </c>
      <c r="Y18">
        <v>172.2</v>
      </c>
      <c r="Z18">
        <v>156.9</v>
      </c>
      <c r="AA18">
        <v>162.1</v>
      </c>
      <c r="AB18">
        <v>165.4</v>
      </c>
      <c r="AC18">
        <v>164.4</v>
      </c>
      <c r="AD18">
        <v>163.5</v>
      </c>
      <c r="AE18">
        <v>166.1</v>
      </c>
      <c r="AG18" s="3" t="s">
        <v>34</v>
      </c>
      <c r="AH18" s="3" t="s">
        <v>20</v>
      </c>
      <c r="AI18" s="3" t="s">
        <v>22</v>
      </c>
      <c r="AJ18" s="30">
        <f t="shared" si="0"/>
        <v>0.73037374022525769</v>
      </c>
      <c r="AK18" s="3">
        <v>150</v>
      </c>
      <c r="AL18" s="3">
        <v>150.9</v>
      </c>
      <c r="AM18" s="3">
        <v>151.19999999999999</v>
      </c>
      <c r="AN18" s="3">
        <v>151.80000000000001</v>
      </c>
      <c r="AO18" s="3">
        <v>154.69999999999999</v>
      </c>
      <c r="AP18" s="3">
        <v>154.80000000000001</v>
      </c>
      <c r="AQ18" s="3">
        <v>155.80000000000001</v>
      </c>
      <c r="AR18" s="3">
        <v>157.5</v>
      </c>
      <c r="AS18" s="3">
        <v>157.5</v>
      </c>
      <c r="AT18" s="3">
        <v>158.4</v>
      </c>
      <c r="AU18" s="3">
        <v>159.30000000000001</v>
      </c>
      <c r="AV18" s="3">
        <v>160.19999999999999</v>
      </c>
      <c r="AW18" s="3">
        <v>161.1</v>
      </c>
      <c r="AX18" s="3">
        <v>161.80000000000001</v>
      </c>
      <c r="AY18" s="3">
        <v>162.80000000000001</v>
      </c>
      <c r="AZ18" s="3">
        <v>164</v>
      </c>
      <c r="BA18" s="3">
        <v>165.2</v>
      </c>
      <c r="BB18" s="3">
        <v>166.4</v>
      </c>
      <c r="BC18" s="3">
        <v>167.4</v>
      </c>
      <c r="BD18" s="3">
        <v>168.5</v>
      </c>
      <c r="BE18" s="3">
        <v>169.5</v>
      </c>
      <c r="BF18" s="3">
        <v>170.4</v>
      </c>
      <c r="BG18" s="3">
        <v>171.4</v>
      </c>
      <c r="BH18" s="3">
        <v>172.1</v>
      </c>
    </row>
    <row r="19" spans="1:60" x14ac:dyDescent="0.3">
      <c r="A19" t="s">
        <v>34</v>
      </c>
      <c r="B19">
        <v>2022</v>
      </c>
      <c r="C19" t="s">
        <v>36</v>
      </c>
      <c r="D19" t="s">
        <v>111</v>
      </c>
      <c r="E19">
        <v>151.30000000000001</v>
      </c>
      <c r="F19">
        <v>210.7</v>
      </c>
      <c r="G19">
        <v>167.8</v>
      </c>
      <c r="H19">
        <v>162.19999999999999</v>
      </c>
      <c r="I19">
        <v>194.6</v>
      </c>
      <c r="J19">
        <v>157.6</v>
      </c>
      <c r="K19">
        <v>166.9</v>
      </c>
      <c r="L19">
        <v>163.9</v>
      </c>
      <c r="M19">
        <v>118.8</v>
      </c>
      <c r="N19">
        <v>177.4</v>
      </c>
      <c r="O19">
        <v>165.3</v>
      </c>
      <c r="P19">
        <v>179.3</v>
      </c>
      <c r="Q19">
        <v>168.4</v>
      </c>
      <c r="R19">
        <v>193.7</v>
      </c>
      <c r="S19">
        <v>172.1</v>
      </c>
      <c r="T19">
        <v>164.6</v>
      </c>
      <c r="U19">
        <v>171.1</v>
      </c>
      <c r="V19">
        <v>165.3</v>
      </c>
      <c r="W19">
        <v>167.2</v>
      </c>
      <c r="X19">
        <v>162.80000000000001</v>
      </c>
      <c r="Y19">
        <v>173</v>
      </c>
      <c r="Z19">
        <v>157.9</v>
      </c>
      <c r="AA19">
        <v>163.30000000000001</v>
      </c>
      <c r="AB19">
        <v>166</v>
      </c>
      <c r="AC19">
        <v>167.2</v>
      </c>
      <c r="AD19">
        <v>164.6</v>
      </c>
      <c r="AE19">
        <v>167.7</v>
      </c>
      <c r="AG19" s="3" t="s">
        <v>34</v>
      </c>
      <c r="AH19" s="3" t="s">
        <v>48</v>
      </c>
      <c r="AI19" s="3" t="s">
        <v>14</v>
      </c>
      <c r="AJ19" s="30">
        <f t="shared" si="0"/>
        <v>0.71816936627720163</v>
      </c>
      <c r="AK19" s="3">
        <v>165.6</v>
      </c>
      <c r="AL19" s="3">
        <v>167.5</v>
      </c>
      <c r="AM19" s="3">
        <v>168.2</v>
      </c>
      <c r="AN19" s="3">
        <v>168.9</v>
      </c>
      <c r="AO19" s="3">
        <v>170.4</v>
      </c>
      <c r="AP19" s="3">
        <v>172.4</v>
      </c>
      <c r="AQ19" s="3">
        <v>172.2</v>
      </c>
      <c r="AR19" s="3">
        <v>173.9</v>
      </c>
      <c r="AS19" s="3">
        <v>173.9</v>
      </c>
      <c r="AT19" s="3">
        <v>174.7</v>
      </c>
      <c r="AU19" s="3">
        <v>175.5</v>
      </c>
      <c r="AV19" s="3">
        <v>176.5</v>
      </c>
      <c r="AW19" s="3">
        <v>177.3</v>
      </c>
      <c r="AX19" s="3">
        <v>178</v>
      </c>
      <c r="AY19" s="3">
        <v>179.3</v>
      </c>
      <c r="AZ19" s="3">
        <v>180.9</v>
      </c>
      <c r="BA19" s="3">
        <v>182.5</v>
      </c>
      <c r="BB19" s="3">
        <v>183.9</v>
      </c>
      <c r="BC19" s="3">
        <v>185.2</v>
      </c>
      <c r="BD19" s="3">
        <v>186.3</v>
      </c>
      <c r="BE19" s="3">
        <v>187.4</v>
      </c>
      <c r="BF19" s="3">
        <v>188.3</v>
      </c>
      <c r="BG19" s="3">
        <v>189.5</v>
      </c>
      <c r="BH19" s="3">
        <v>190.3</v>
      </c>
    </row>
    <row r="20" spans="1:60" x14ac:dyDescent="0.3">
      <c r="A20" t="s">
        <v>34</v>
      </c>
      <c r="B20">
        <v>2022</v>
      </c>
      <c r="C20" t="s">
        <v>37</v>
      </c>
      <c r="D20" t="s">
        <v>112</v>
      </c>
      <c r="E20">
        <v>152.9</v>
      </c>
      <c r="F20">
        <v>211.8</v>
      </c>
      <c r="G20">
        <v>164.5</v>
      </c>
      <c r="H20">
        <v>163.9</v>
      </c>
      <c r="I20">
        <v>199.5</v>
      </c>
      <c r="J20">
        <v>172.6</v>
      </c>
      <c r="K20">
        <v>166.2</v>
      </c>
      <c r="L20">
        <v>164.7</v>
      </c>
      <c r="M20">
        <v>119</v>
      </c>
      <c r="N20">
        <v>181.3</v>
      </c>
      <c r="O20">
        <v>166.2</v>
      </c>
      <c r="P20">
        <v>180.9</v>
      </c>
      <c r="Q20">
        <v>170.8</v>
      </c>
      <c r="R20">
        <v>193.9</v>
      </c>
      <c r="S20">
        <v>173.9</v>
      </c>
      <c r="T20">
        <v>166.5</v>
      </c>
      <c r="U20">
        <v>172.8</v>
      </c>
      <c r="V20">
        <v>167</v>
      </c>
      <c r="W20">
        <v>172.2</v>
      </c>
      <c r="X20">
        <v>164</v>
      </c>
      <c r="Y20">
        <v>174</v>
      </c>
      <c r="Z20">
        <v>162.6</v>
      </c>
      <c r="AA20">
        <v>164.4</v>
      </c>
      <c r="AB20">
        <v>166.9</v>
      </c>
      <c r="AC20">
        <v>168.8</v>
      </c>
      <c r="AD20">
        <v>166.8</v>
      </c>
      <c r="AE20">
        <v>170.1</v>
      </c>
      <c r="AG20" s="3" t="s">
        <v>34</v>
      </c>
      <c r="AH20" s="3" t="s">
        <v>48</v>
      </c>
      <c r="AI20" s="3" t="s">
        <v>15</v>
      </c>
      <c r="AJ20" s="30">
        <f t="shared" si="0"/>
        <v>0.71771593094288821</v>
      </c>
      <c r="AK20" s="3">
        <v>161</v>
      </c>
      <c r="AL20" s="3">
        <v>156.9</v>
      </c>
      <c r="AM20" s="3">
        <v>156.69999999999999</v>
      </c>
      <c r="AN20" s="3">
        <v>158</v>
      </c>
      <c r="AO20" s="3">
        <v>160.69999999999999</v>
      </c>
      <c r="AP20" s="3">
        <v>162.6</v>
      </c>
      <c r="AQ20" s="3">
        <v>164</v>
      </c>
      <c r="AR20" s="3">
        <v>164</v>
      </c>
      <c r="AS20" s="3">
        <v>164</v>
      </c>
      <c r="AT20" s="3">
        <v>167.7</v>
      </c>
      <c r="AU20" s="3">
        <v>169.7</v>
      </c>
      <c r="AV20" s="3">
        <v>168.2</v>
      </c>
      <c r="AW20" s="3">
        <v>166.4</v>
      </c>
      <c r="AX20" s="3">
        <v>166.2</v>
      </c>
      <c r="AY20" s="3">
        <v>168.4</v>
      </c>
      <c r="AZ20" s="3">
        <v>170.8</v>
      </c>
      <c r="BA20" s="3">
        <v>173.3</v>
      </c>
      <c r="BB20" s="3">
        <v>174.9</v>
      </c>
      <c r="BC20" s="3">
        <v>175</v>
      </c>
      <c r="BD20" s="3">
        <v>176.3</v>
      </c>
      <c r="BE20" s="3">
        <v>177.8</v>
      </c>
      <c r="BF20" s="3">
        <v>179.6</v>
      </c>
      <c r="BG20" s="3">
        <v>178.3</v>
      </c>
      <c r="BH20" s="3">
        <v>175.9</v>
      </c>
    </row>
    <row r="21" spans="1:60" x14ac:dyDescent="0.3">
      <c r="A21" t="s">
        <v>34</v>
      </c>
      <c r="B21">
        <v>2022</v>
      </c>
      <c r="C21" t="s">
        <v>38</v>
      </c>
      <c r="D21" t="s">
        <v>113</v>
      </c>
      <c r="E21">
        <v>154.1</v>
      </c>
      <c r="F21">
        <v>217</v>
      </c>
      <c r="G21">
        <v>162.4</v>
      </c>
      <c r="H21">
        <v>164.9</v>
      </c>
      <c r="I21">
        <v>202.4</v>
      </c>
      <c r="J21">
        <v>171</v>
      </c>
      <c r="K21">
        <v>174.9</v>
      </c>
      <c r="L21">
        <v>164.7</v>
      </c>
      <c r="M21">
        <v>119.7</v>
      </c>
      <c r="N21">
        <v>184.9</v>
      </c>
      <c r="O21">
        <v>167.1</v>
      </c>
      <c r="P21">
        <v>182.5</v>
      </c>
      <c r="Q21">
        <v>173.3</v>
      </c>
      <c r="R21">
        <v>194.1</v>
      </c>
      <c r="S21">
        <v>175.6</v>
      </c>
      <c r="T21">
        <v>168.4</v>
      </c>
      <c r="U21">
        <v>174.6</v>
      </c>
      <c r="V21">
        <v>167.5</v>
      </c>
      <c r="W21">
        <v>174.6</v>
      </c>
      <c r="X21">
        <v>165.2</v>
      </c>
      <c r="Y21">
        <v>174.8</v>
      </c>
      <c r="Z21">
        <v>163</v>
      </c>
      <c r="AA21">
        <v>165.1</v>
      </c>
      <c r="AB21">
        <v>167.9</v>
      </c>
      <c r="AC21">
        <v>168.4</v>
      </c>
      <c r="AD21">
        <v>167.5</v>
      </c>
      <c r="AE21">
        <v>171.7</v>
      </c>
      <c r="AG21" s="3" t="s">
        <v>34</v>
      </c>
      <c r="AH21" s="3" t="s">
        <v>20</v>
      </c>
      <c r="AI21" s="3" t="s">
        <v>20</v>
      </c>
      <c r="AJ21" s="30">
        <f t="shared" si="0"/>
        <v>0.69787802521406628</v>
      </c>
      <c r="AK21" s="3">
        <v>157.69999999999999</v>
      </c>
      <c r="AL21" s="3">
        <v>159.80000000000001</v>
      </c>
      <c r="AM21" s="3">
        <v>159.9</v>
      </c>
      <c r="AN21" s="3">
        <v>161.4</v>
      </c>
      <c r="AO21" s="3">
        <v>161.6</v>
      </c>
      <c r="AP21" s="3">
        <v>160.5</v>
      </c>
      <c r="AQ21" s="3">
        <v>161.5</v>
      </c>
      <c r="AR21" s="3">
        <v>162.1</v>
      </c>
      <c r="AS21" s="3">
        <v>162.1</v>
      </c>
      <c r="AT21" s="3">
        <v>163.6</v>
      </c>
      <c r="AU21" s="3">
        <v>164.2</v>
      </c>
      <c r="AV21" s="3">
        <v>163.4</v>
      </c>
      <c r="AW21" s="3">
        <v>164.5</v>
      </c>
      <c r="AX21" s="3">
        <v>165.5</v>
      </c>
      <c r="AY21" s="3">
        <v>165.3</v>
      </c>
      <c r="AZ21" s="3">
        <v>167</v>
      </c>
      <c r="BA21" s="3">
        <v>167.5</v>
      </c>
      <c r="BB21" s="3">
        <v>166.8</v>
      </c>
      <c r="BC21" s="3">
        <v>167.8</v>
      </c>
      <c r="BD21" s="3">
        <v>169</v>
      </c>
      <c r="BE21" s="3">
        <v>169.5</v>
      </c>
      <c r="BF21" s="3">
        <v>171.2</v>
      </c>
      <c r="BG21" s="3">
        <v>171.8</v>
      </c>
      <c r="BH21" s="3">
        <v>170.7</v>
      </c>
    </row>
    <row r="22" spans="1:60" x14ac:dyDescent="0.3">
      <c r="A22" t="s">
        <v>34</v>
      </c>
      <c r="B22">
        <v>2022</v>
      </c>
      <c r="C22" t="s">
        <v>39</v>
      </c>
      <c r="D22" t="s">
        <v>114</v>
      </c>
      <c r="E22">
        <v>155</v>
      </c>
      <c r="F22">
        <v>219.4</v>
      </c>
      <c r="G22">
        <v>170.8</v>
      </c>
      <c r="H22">
        <v>165.8</v>
      </c>
      <c r="I22">
        <v>200.9</v>
      </c>
      <c r="J22">
        <v>169.7</v>
      </c>
      <c r="K22">
        <v>182.3</v>
      </c>
      <c r="L22">
        <v>164.3</v>
      </c>
      <c r="M22">
        <v>119.9</v>
      </c>
      <c r="N22">
        <v>187.1</v>
      </c>
      <c r="O22">
        <v>167.9</v>
      </c>
      <c r="P22">
        <v>183.9</v>
      </c>
      <c r="Q22">
        <v>174.9</v>
      </c>
      <c r="R22">
        <v>194.3</v>
      </c>
      <c r="S22">
        <v>177.1</v>
      </c>
      <c r="T22">
        <v>169.9</v>
      </c>
      <c r="U22">
        <v>176</v>
      </c>
      <c r="V22">
        <v>166.8</v>
      </c>
      <c r="W22">
        <v>176</v>
      </c>
      <c r="X22">
        <v>166.4</v>
      </c>
      <c r="Y22">
        <v>175.4</v>
      </c>
      <c r="Z22">
        <v>161.1</v>
      </c>
      <c r="AA22">
        <v>165.8</v>
      </c>
      <c r="AB22">
        <v>169</v>
      </c>
      <c r="AC22">
        <v>169.4</v>
      </c>
      <c r="AD22">
        <v>167.5</v>
      </c>
      <c r="AE22">
        <v>172.6</v>
      </c>
      <c r="AG22" s="3" t="s">
        <v>34</v>
      </c>
      <c r="AH22" s="3" t="s">
        <v>49</v>
      </c>
      <c r="AI22" s="3" t="s">
        <v>16</v>
      </c>
      <c r="AJ22" s="30">
        <f t="shared" si="0"/>
        <v>0.68867161411370348</v>
      </c>
      <c r="AK22" s="3">
        <v>186.5</v>
      </c>
      <c r="AL22" s="3">
        <v>188.3</v>
      </c>
      <c r="AM22" s="3">
        <v>188.1</v>
      </c>
      <c r="AN22" s="3">
        <v>188.8</v>
      </c>
      <c r="AO22" s="3">
        <v>191.9</v>
      </c>
      <c r="AP22" s="3">
        <v>190.8</v>
      </c>
      <c r="AQ22" s="3">
        <v>191.2</v>
      </c>
      <c r="AR22" s="3">
        <v>192.1</v>
      </c>
      <c r="AS22" s="3">
        <v>192.1</v>
      </c>
      <c r="AT22" s="3">
        <v>192.7</v>
      </c>
      <c r="AU22" s="3">
        <v>192.9</v>
      </c>
      <c r="AV22" s="3">
        <v>192.4</v>
      </c>
      <c r="AW22" s="3">
        <v>192.2</v>
      </c>
      <c r="AX22" s="3">
        <v>192.8</v>
      </c>
      <c r="AY22" s="3">
        <v>193.7</v>
      </c>
      <c r="AZ22" s="3">
        <v>193.9</v>
      </c>
      <c r="BA22" s="3">
        <v>194.1</v>
      </c>
      <c r="BB22" s="3">
        <v>194.3</v>
      </c>
      <c r="BC22" s="3">
        <v>194.6</v>
      </c>
      <c r="BD22" s="3">
        <v>195</v>
      </c>
      <c r="BE22" s="3">
        <v>195.9</v>
      </c>
      <c r="BF22" s="3">
        <v>196.3</v>
      </c>
      <c r="BG22" s="3">
        <v>196.9</v>
      </c>
      <c r="BH22" s="3">
        <v>197.3</v>
      </c>
    </row>
    <row r="23" spans="1:60" x14ac:dyDescent="0.3">
      <c r="A23" t="s">
        <v>34</v>
      </c>
      <c r="B23">
        <v>2022</v>
      </c>
      <c r="C23" t="s">
        <v>40</v>
      </c>
      <c r="D23" t="s">
        <v>115</v>
      </c>
      <c r="E23">
        <v>156.5</v>
      </c>
      <c r="F23">
        <v>213</v>
      </c>
      <c r="G23">
        <v>175.2</v>
      </c>
      <c r="H23">
        <v>166.6</v>
      </c>
      <c r="I23">
        <v>195.8</v>
      </c>
      <c r="J23">
        <v>174.2</v>
      </c>
      <c r="K23">
        <v>182.1</v>
      </c>
      <c r="L23">
        <v>164.3</v>
      </c>
      <c r="M23">
        <v>120</v>
      </c>
      <c r="N23">
        <v>190</v>
      </c>
      <c r="O23">
        <v>168.4</v>
      </c>
      <c r="P23">
        <v>185.2</v>
      </c>
      <c r="Q23">
        <v>175</v>
      </c>
      <c r="R23">
        <v>194.6</v>
      </c>
      <c r="S23">
        <v>178.3</v>
      </c>
      <c r="T23">
        <v>171.3</v>
      </c>
      <c r="U23">
        <v>177.3</v>
      </c>
      <c r="V23">
        <v>167.8</v>
      </c>
      <c r="W23">
        <v>179.6</v>
      </c>
      <c r="X23">
        <v>167.4</v>
      </c>
      <c r="Y23">
        <v>176.1</v>
      </c>
      <c r="Z23">
        <v>161.6</v>
      </c>
      <c r="AA23">
        <v>166.3</v>
      </c>
      <c r="AB23">
        <v>171.4</v>
      </c>
      <c r="AC23">
        <v>169.7</v>
      </c>
      <c r="AD23">
        <v>168.4</v>
      </c>
      <c r="AE23">
        <v>173.4</v>
      </c>
      <c r="AG23" s="3" t="s">
        <v>34</v>
      </c>
      <c r="AH23" s="3" t="s">
        <v>26</v>
      </c>
      <c r="AI23" s="3" t="s">
        <v>26</v>
      </c>
      <c r="AJ23" s="30">
        <f t="shared" si="0"/>
        <v>0.65313864265722477</v>
      </c>
      <c r="AK23" s="3">
        <v>159.19999999999999</v>
      </c>
      <c r="AL23" s="3">
        <v>159.5</v>
      </c>
      <c r="AM23" s="3">
        <v>160.19999999999999</v>
      </c>
      <c r="AN23" s="3">
        <v>160.30000000000001</v>
      </c>
      <c r="AO23" s="3">
        <v>161.19999999999999</v>
      </c>
      <c r="AP23" s="3">
        <v>161.69999999999999</v>
      </c>
      <c r="AQ23" s="3">
        <v>163.19999999999999</v>
      </c>
      <c r="AR23" s="3">
        <v>163.80000000000001</v>
      </c>
      <c r="AS23" s="3">
        <v>163.69999999999999</v>
      </c>
      <c r="AT23" s="3">
        <v>163.9</v>
      </c>
      <c r="AU23" s="3">
        <v>164.3</v>
      </c>
      <c r="AV23" s="3">
        <v>164.4</v>
      </c>
      <c r="AW23" s="3">
        <v>164.7</v>
      </c>
      <c r="AX23" s="3">
        <v>165.4</v>
      </c>
      <c r="AY23" s="3">
        <v>166</v>
      </c>
      <c r="AZ23" s="3">
        <v>166.9</v>
      </c>
      <c r="BA23" s="3">
        <v>167.9</v>
      </c>
      <c r="BB23" s="3">
        <v>169</v>
      </c>
      <c r="BC23" s="3">
        <v>171.4</v>
      </c>
      <c r="BD23" s="3">
        <v>172.3</v>
      </c>
      <c r="BE23" s="3">
        <v>173.1</v>
      </c>
      <c r="BF23" s="3">
        <v>173.4</v>
      </c>
      <c r="BG23" s="3">
        <v>173.7</v>
      </c>
      <c r="BH23" s="3">
        <v>174.1</v>
      </c>
    </row>
    <row r="24" spans="1:60" x14ac:dyDescent="0.3">
      <c r="A24" t="s">
        <v>34</v>
      </c>
      <c r="B24">
        <v>2022</v>
      </c>
      <c r="C24" t="s">
        <v>41</v>
      </c>
      <c r="D24" t="s">
        <v>116</v>
      </c>
      <c r="E24">
        <v>160.30000000000001</v>
      </c>
      <c r="F24">
        <v>206.5</v>
      </c>
      <c r="G24">
        <v>169.2</v>
      </c>
      <c r="H24">
        <v>168.1</v>
      </c>
      <c r="I24">
        <v>192.4</v>
      </c>
      <c r="J24">
        <v>172.9</v>
      </c>
      <c r="K24">
        <v>186.7</v>
      </c>
      <c r="L24">
        <v>167.2</v>
      </c>
      <c r="M24">
        <v>120.9</v>
      </c>
      <c r="N24">
        <v>193.6</v>
      </c>
      <c r="O24">
        <v>168.8</v>
      </c>
      <c r="P24">
        <v>186.3</v>
      </c>
      <c r="Q24">
        <v>176.3</v>
      </c>
      <c r="R24">
        <v>195</v>
      </c>
      <c r="S24">
        <v>179.5</v>
      </c>
      <c r="T24">
        <v>172.7</v>
      </c>
      <c r="U24">
        <v>178.5</v>
      </c>
      <c r="V24">
        <v>169</v>
      </c>
      <c r="W24">
        <v>178.8</v>
      </c>
      <c r="X24">
        <v>168.5</v>
      </c>
      <c r="Y24">
        <v>176.8</v>
      </c>
      <c r="Z24">
        <v>161.9</v>
      </c>
      <c r="AA24">
        <v>166.9</v>
      </c>
      <c r="AB24">
        <v>172.3</v>
      </c>
      <c r="AC24">
        <v>171.2</v>
      </c>
      <c r="AD24">
        <v>169.1</v>
      </c>
      <c r="AE24">
        <v>174.3</v>
      </c>
      <c r="AG24" s="3" t="s">
        <v>34</v>
      </c>
      <c r="AH24" s="3" t="s">
        <v>48</v>
      </c>
      <c r="AI24" s="3" t="s">
        <v>6</v>
      </c>
      <c r="AJ24" s="30">
        <f t="shared" si="0"/>
        <v>0.63436438765675618</v>
      </c>
      <c r="AK24" s="3">
        <v>154.1</v>
      </c>
      <c r="AL24" s="3">
        <v>154.69999999999999</v>
      </c>
      <c r="AM24" s="3">
        <v>154.9</v>
      </c>
      <c r="AN24" s="3">
        <v>155.4</v>
      </c>
      <c r="AO24" s="3">
        <v>156.1</v>
      </c>
      <c r="AP24" s="3">
        <v>156.19999999999999</v>
      </c>
      <c r="AQ24" s="3">
        <v>157.5</v>
      </c>
      <c r="AR24" s="3">
        <v>158.4</v>
      </c>
      <c r="AS24" s="3">
        <v>158.4</v>
      </c>
      <c r="AT24" s="3">
        <v>158.69999999999999</v>
      </c>
      <c r="AU24" s="3">
        <v>159.30000000000001</v>
      </c>
      <c r="AV24" s="3">
        <v>159.9</v>
      </c>
      <c r="AW24" s="3">
        <v>160.5</v>
      </c>
      <c r="AX24" s="3">
        <v>160.69999999999999</v>
      </c>
      <c r="AY24" s="3">
        <v>162.19999999999999</v>
      </c>
      <c r="AZ24" s="3">
        <v>163.9</v>
      </c>
      <c r="BA24" s="3">
        <v>164.9</v>
      </c>
      <c r="BB24" s="3">
        <v>165.8</v>
      </c>
      <c r="BC24" s="3">
        <v>166.6</v>
      </c>
      <c r="BD24" s="3">
        <v>168.1</v>
      </c>
      <c r="BE24" s="3">
        <v>169.7</v>
      </c>
      <c r="BF24" s="3">
        <v>170.9</v>
      </c>
      <c r="BG24" s="3">
        <v>172.3</v>
      </c>
      <c r="BH24" s="3">
        <v>173.6</v>
      </c>
    </row>
    <row r="25" spans="1:60" x14ac:dyDescent="0.3">
      <c r="A25" t="s">
        <v>34</v>
      </c>
      <c r="B25">
        <v>2022</v>
      </c>
      <c r="C25" t="s">
        <v>42</v>
      </c>
      <c r="D25" t="s">
        <v>117</v>
      </c>
      <c r="E25">
        <v>163.5</v>
      </c>
      <c r="F25">
        <v>209.2</v>
      </c>
      <c r="G25">
        <v>169.7</v>
      </c>
      <c r="H25">
        <v>169.7</v>
      </c>
      <c r="I25">
        <v>188.7</v>
      </c>
      <c r="J25">
        <v>165.7</v>
      </c>
      <c r="K25">
        <v>191.8</v>
      </c>
      <c r="L25">
        <v>169.1</v>
      </c>
      <c r="M25">
        <v>121.6</v>
      </c>
      <c r="N25">
        <v>197.3</v>
      </c>
      <c r="O25">
        <v>169.4</v>
      </c>
      <c r="P25">
        <v>187.4</v>
      </c>
      <c r="Q25">
        <v>177.8</v>
      </c>
      <c r="R25">
        <v>195.9</v>
      </c>
      <c r="S25">
        <v>180.9</v>
      </c>
      <c r="T25">
        <v>174.3</v>
      </c>
      <c r="U25">
        <v>179.9</v>
      </c>
      <c r="V25">
        <v>169.5</v>
      </c>
      <c r="W25">
        <v>179.5</v>
      </c>
      <c r="X25">
        <v>169.5</v>
      </c>
      <c r="Y25">
        <v>177.8</v>
      </c>
      <c r="Z25">
        <v>162.30000000000001</v>
      </c>
      <c r="AA25">
        <v>167.6</v>
      </c>
      <c r="AB25">
        <v>173.1</v>
      </c>
      <c r="AC25">
        <v>170.9</v>
      </c>
      <c r="AD25">
        <v>169.7</v>
      </c>
      <c r="AE25">
        <v>175.3</v>
      </c>
      <c r="AG25" s="3" t="s">
        <v>34</v>
      </c>
      <c r="AH25" s="3" t="s">
        <v>48</v>
      </c>
      <c r="AI25" s="3" t="s">
        <v>8</v>
      </c>
      <c r="AJ25" s="30">
        <f t="shared" si="0"/>
        <v>0.59139323105135344</v>
      </c>
      <c r="AK25" s="3">
        <v>149.6</v>
      </c>
      <c r="AL25" s="3">
        <v>150.69999999999999</v>
      </c>
      <c r="AM25" s="3">
        <v>153.69999999999999</v>
      </c>
      <c r="AN25" s="3">
        <v>164.4</v>
      </c>
      <c r="AO25" s="3">
        <v>167.1</v>
      </c>
      <c r="AP25" s="3">
        <v>164.6</v>
      </c>
      <c r="AQ25" s="3">
        <v>163.9</v>
      </c>
      <c r="AR25" s="3">
        <v>156.80000000000001</v>
      </c>
      <c r="AS25" s="3">
        <v>156.69999999999999</v>
      </c>
      <c r="AT25" s="3">
        <v>155.69999999999999</v>
      </c>
      <c r="AU25" s="3">
        <v>156.5</v>
      </c>
      <c r="AV25" s="3">
        <v>154.9</v>
      </c>
      <c r="AW25" s="3">
        <v>153.69999999999999</v>
      </c>
      <c r="AX25" s="3">
        <v>153.69999999999999</v>
      </c>
      <c r="AY25" s="3">
        <v>157.6</v>
      </c>
      <c r="AZ25" s="3">
        <v>172.6</v>
      </c>
      <c r="BA25" s="3">
        <v>171</v>
      </c>
      <c r="BB25" s="3">
        <v>169.7</v>
      </c>
      <c r="BC25" s="3">
        <v>174.2</v>
      </c>
      <c r="BD25" s="3">
        <v>172.9</v>
      </c>
      <c r="BE25" s="3">
        <v>165.7</v>
      </c>
      <c r="BF25" s="3">
        <v>163.80000000000001</v>
      </c>
      <c r="BG25" s="3">
        <v>160.69999999999999</v>
      </c>
      <c r="BH25" s="3">
        <v>158</v>
      </c>
    </row>
    <row r="26" spans="1:60" x14ac:dyDescent="0.3">
      <c r="A26" t="s">
        <v>34</v>
      </c>
      <c r="B26">
        <v>2022</v>
      </c>
      <c r="C26" t="s">
        <v>43</v>
      </c>
      <c r="D26" t="s">
        <v>118</v>
      </c>
      <c r="E26">
        <v>165.2</v>
      </c>
      <c r="F26">
        <v>210.9</v>
      </c>
      <c r="G26">
        <v>170.9</v>
      </c>
      <c r="H26">
        <v>170.9</v>
      </c>
      <c r="I26">
        <v>186.5</v>
      </c>
      <c r="J26">
        <v>163.80000000000001</v>
      </c>
      <c r="K26">
        <v>199.7</v>
      </c>
      <c r="L26">
        <v>169.8</v>
      </c>
      <c r="M26">
        <v>121.9</v>
      </c>
      <c r="N26">
        <v>199.9</v>
      </c>
      <c r="O26">
        <v>169.9</v>
      </c>
      <c r="P26">
        <v>188.3</v>
      </c>
      <c r="Q26">
        <v>179.6</v>
      </c>
      <c r="R26">
        <v>196.3</v>
      </c>
      <c r="S26">
        <v>181.9</v>
      </c>
      <c r="T26">
        <v>175.3</v>
      </c>
      <c r="U26">
        <v>181</v>
      </c>
      <c r="V26">
        <v>171.2</v>
      </c>
      <c r="W26">
        <v>180.5</v>
      </c>
      <c r="X26">
        <v>170.4</v>
      </c>
      <c r="Y26">
        <v>178.7</v>
      </c>
      <c r="Z26">
        <v>162.9</v>
      </c>
      <c r="AA26">
        <v>168.2</v>
      </c>
      <c r="AB26">
        <v>173.4</v>
      </c>
      <c r="AC26">
        <v>172.1</v>
      </c>
      <c r="AD26">
        <v>170.5</v>
      </c>
      <c r="AE26">
        <v>176.7</v>
      </c>
      <c r="AG26" s="3" t="s">
        <v>34</v>
      </c>
      <c r="AH26" s="3" t="s">
        <v>48</v>
      </c>
      <c r="AI26" s="3" t="s">
        <v>12</v>
      </c>
      <c r="AJ26" s="30">
        <f t="shared" si="0"/>
        <v>0.59053727341757856</v>
      </c>
      <c r="AK26" s="3">
        <v>164</v>
      </c>
      <c r="AL26" s="3">
        <v>164.2</v>
      </c>
      <c r="AM26" s="3">
        <v>163.5</v>
      </c>
      <c r="AN26" s="3">
        <v>163.9</v>
      </c>
      <c r="AO26" s="3">
        <v>168.2</v>
      </c>
      <c r="AP26" s="3">
        <v>168.5</v>
      </c>
      <c r="AQ26" s="3">
        <v>168.3</v>
      </c>
      <c r="AR26" s="3">
        <v>168.8</v>
      </c>
      <c r="AS26" s="3">
        <v>168.8</v>
      </c>
      <c r="AT26" s="3">
        <v>169.3</v>
      </c>
      <c r="AU26" s="3">
        <v>169.6</v>
      </c>
      <c r="AV26" s="3">
        <v>170.5</v>
      </c>
      <c r="AW26" s="3">
        <v>172.1</v>
      </c>
      <c r="AX26" s="3">
        <v>174.3</v>
      </c>
      <c r="AY26" s="3">
        <v>177.4</v>
      </c>
      <c r="AZ26" s="3">
        <v>181.3</v>
      </c>
      <c r="BA26" s="3">
        <v>184.9</v>
      </c>
      <c r="BB26" s="3">
        <v>187.1</v>
      </c>
      <c r="BC26" s="3">
        <v>190</v>
      </c>
      <c r="BD26" s="3">
        <v>193.6</v>
      </c>
      <c r="BE26" s="3">
        <v>197.3</v>
      </c>
      <c r="BF26" s="3">
        <v>199.9</v>
      </c>
      <c r="BG26" s="3">
        <v>202.8</v>
      </c>
      <c r="BH26" s="3">
        <v>205.2</v>
      </c>
    </row>
    <row r="27" spans="1:60" x14ac:dyDescent="0.3">
      <c r="A27" t="s">
        <v>34</v>
      </c>
      <c r="B27">
        <v>2022</v>
      </c>
      <c r="C27" t="s">
        <v>44</v>
      </c>
      <c r="D27" t="s">
        <v>119</v>
      </c>
      <c r="E27">
        <v>167.4</v>
      </c>
      <c r="F27">
        <v>209.4</v>
      </c>
      <c r="G27">
        <v>181.4</v>
      </c>
      <c r="H27">
        <v>172.3</v>
      </c>
      <c r="I27">
        <v>188.9</v>
      </c>
      <c r="J27">
        <v>160.69999999999999</v>
      </c>
      <c r="K27">
        <v>183.1</v>
      </c>
      <c r="L27">
        <v>170.5</v>
      </c>
      <c r="M27">
        <v>122.1</v>
      </c>
      <c r="N27">
        <v>202.8</v>
      </c>
      <c r="O27">
        <v>170.4</v>
      </c>
      <c r="P27">
        <v>189.5</v>
      </c>
      <c r="Q27">
        <v>178.3</v>
      </c>
      <c r="R27">
        <v>196.9</v>
      </c>
      <c r="S27">
        <v>183.1</v>
      </c>
      <c r="T27">
        <v>176.2</v>
      </c>
      <c r="U27">
        <v>182.1</v>
      </c>
      <c r="V27">
        <v>171.8</v>
      </c>
      <c r="W27">
        <v>181.3</v>
      </c>
      <c r="X27">
        <v>171.4</v>
      </c>
      <c r="Y27">
        <v>179.8</v>
      </c>
      <c r="Z27">
        <v>163</v>
      </c>
      <c r="AA27">
        <v>168.5</v>
      </c>
      <c r="AB27">
        <v>173.7</v>
      </c>
      <c r="AC27">
        <v>173.6</v>
      </c>
      <c r="AD27">
        <v>171.1</v>
      </c>
      <c r="AE27">
        <v>176.5</v>
      </c>
      <c r="AG27" s="3" t="s">
        <v>34</v>
      </c>
      <c r="AH27" s="3" t="s">
        <v>48</v>
      </c>
      <c r="AI27" s="3" t="s">
        <v>11</v>
      </c>
      <c r="AJ27" s="30">
        <f t="shared" si="0"/>
        <v>0.56709729181669644</v>
      </c>
      <c r="AK27" s="3">
        <v>114.6</v>
      </c>
      <c r="AL27" s="3">
        <v>112.8</v>
      </c>
      <c r="AM27" s="3">
        <v>112.6</v>
      </c>
      <c r="AN27" s="3">
        <v>113.1</v>
      </c>
      <c r="AO27" s="3">
        <v>114.8</v>
      </c>
      <c r="AP27" s="3">
        <v>115.1</v>
      </c>
      <c r="AQ27" s="3">
        <v>114.5</v>
      </c>
      <c r="AR27" s="3">
        <v>119.7</v>
      </c>
      <c r="AS27" s="3">
        <v>119.7</v>
      </c>
      <c r="AT27" s="3">
        <v>121.9</v>
      </c>
      <c r="AU27" s="3">
        <v>122.4</v>
      </c>
      <c r="AV27" s="3">
        <v>121</v>
      </c>
      <c r="AW27" s="3">
        <v>120</v>
      </c>
      <c r="AX27" s="3">
        <v>118.9</v>
      </c>
      <c r="AY27" s="3">
        <v>118.8</v>
      </c>
      <c r="AZ27" s="3">
        <v>119</v>
      </c>
      <c r="BA27" s="3">
        <v>119.7</v>
      </c>
      <c r="BB27" s="3">
        <v>119.9</v>
      </c>
      <c r="BC27" s="3">
        <v>120</v>
      </c>
      <c r="BD27" s="3">
        <v>120.9</v>
      </c>
      <c r="BE27" s="3">
        <v>121.6</v>
      </c>
      <c r="BF27" s="3">
        <v>121.9</v>
      </c>
      <c r="BG27" s="3">
        <v>122.1</v>
      </c>
      <c r="BH27" s="3">
        <v>121.8</v>
      </c>
    </row>
    <row r="28" spans="1:60" x14ac:dyDescent="0.3">
      <c r="A28" t="s">
        <v>34</v>
      </c>
      <c r="B28">
        <v>2022</v>
      </c>
      <c r="C28" t="s">
        <v>45</v>
      </c>
      <c r="D28" t="s">
        <v>120</v>
      </c>
      <c r="E28">
        <v>169.2</v>
      </c>
      <c r="F28">
        <v>209</v>
      </c>
      <c r="G28">
        <v>190.2</v>
      </c>
      <c r="H28">
        <v>173.6</v>
      </c>
      <c r="I28">
        <v>188.5</v>
      </c>
      <c r="J28">
        <v>158</v>
      </c>
      <c r="K28">
        <v>159.9</v>
      </c>
      <c r="L28">
        <v>170.8</v>
      </c>
      <c r="M28">
        <v>121.8</v>
      </c>
      <c r="N28">
        <v>205.2</v>
      </c>
      <c r="O28">
        <v>171</v>
      </c>
      <c r="P28">
        <v>190.3</v>
      </c>
      <c r="Q28">
        <v>175.9</v>
      </c>
      <c r="R28">
        <v>197.3</v>
      </c>
      <c r="S28">
        <v>184</v>
      </c>
      <c r="T28">
        <v>177</v>
      </c>
      <c r="U28">
        <v>183</v>
      </c>
      <c r="V28">
        <v>170.7</v>
      </c>
      <c r="W28">
        <v>182</v>
      </c>
      <c r="X28">
        <v>172.1</v>
      </c>
      <c r="Y28">
        <v>181.1</v>
      </c>
      <c r="Z28">
        <v>163.4</v>
      </c>
      <c r="AA28">
        <v>168.9</v>
      </c>
      <c r="AB28">
        <v>174.1</v>
      </c>
      <c r="AC28">
        <v>175.8</v>
      </c>
      <c r="AD28">
        <v>172</v>
      </c>
      <c r="AE28">
        <v>175.7</v>
      </c>
      <c r="AG28" s="3" t="s">
        <v>34</v>
      </c>
      <c r="AH28" s="3" t="s">
        <v>48</v>
      </c>
      <c r="AI28" s="3" t="s">
        <v>3</v>
      </c>
      <c r="AJ28" s="30">
        <f t="shared" si="0"/>
        <v>0.50782673928104072</v>
      </c>
      <c r="AK28" s="3">
        <v>144.9</v>
      </c>
      <c r="AL28" s="3">
        <v>144.30000000000001</v>
      </c>
      <c r="AM28" s="3">
        <v>144.1</v>
      </c>
      <c r="AN28" s="3">
        <v>144.30000000000001</v>
      </c>
      <c r="AO28" s="3">
        <v>146.30000000000001</v>
      </c>
      <c r="AP28" s="3">
        <v>146.69999999999999</v>
      </c>
      <c r="AQ28" s="3">
        <v>146.4</v>
      </c>
      <c r="AR28" s="3">
        <v>146.6</v>
      </c>
      <c r="AS28" s="3">
        <v>146.6</v>
      </c>
      <c r="AT28" s="3">
        <v>147.4</v>
      </c>
      <c r="AU28" s="3">
        <v>148.19999999999999</v>
      </c>
      <c r="AV28" s="3">
        <v>148.69999999999999</v>
      </c>
      <c r="AW28" s="3">
        <v>149.5</v>
      </c>
      <c r="AX28" s="3">
        <v>150</v>
      </c>
      <c r="AY28" s="3">
        <v>151.30000000000001</v>
      </c>
      <c r="AZ28" s="3">
        <v>152.9</v>
      </c>
      <c r="BA28" s="3">
        <v>154.1</v>
      </c>
      <c r="BB28" s="3">
        <v>155</v>
      </c>
      <c r="BC28" s="3">
        <v>156.5</v>
      </c>
      <c r="BD28" s="3">
        <v>160.30000000000001</v>
      </c>
      <c r="BE28" s="3">
        <v>163.5</v>
      </c>
      <c r="BF28" s="3">
        <v>165.2</v>
      </c>
      <c r="BG28" s="3">
        <v>167.4</v>
      </c>
      <c r="BH28" s="3">
        <v>169.2</v>
      </c>
    </row>
    <row r="29" spans="1:60" x14ac:dyDescent="0.3">
      <c r="AG29" s="3" t="s">
        <v>34</v>
      </c>
      <c r="AH29" s="3" t="s">
        <v>48</v>
      </c>
      <c r="AI29" s="3" t="s">
        <v>10</v>
      </c>
      <c r="AJ29" s="30">
        <f t="shared" si="0"/>
        <v>0.36427003644529937</v>
      </c>
      <c r="AK29" s="3">
        <v>160.4</v>
      </c>
      <c r="AL29" s="3">
        <v>158.80000000000001</v>
      </c>
      <c r="AM29" s="3">
        <v>159.80000000000001</v>
      </c>
      <c r="AN29" s="3">
        <v>161.69999999999999</v>
      </c>
      <c r="AO29" s="3">
        <v>165.4</v>
      </c>
      <c r="AP29" s="3">
        <v>166</v>
      </c>
      <c r="AQ29" s="3">
        <v>164</v>
      </c>
      <c r="AR29" s="3">
        <v>164.1</v>
      </c>
      <c r="AS29" s="3">
        <v>164.1</v>
      </c>
      <c r="AT29" s="3">
        <v>165.2</v>
      </c>
      <c r="AU29" s="3">
        <v>165.3</v>
      </c>
      <c r="AV29" s="3">
        <v>164.4</v>
      </c>
      <c r="AW29" s="3">
        <v>163.9</v>
      </c>
      <c r="AX29" s="3">
        <v>163.69999999999999</v>
      </c>
      <c r="AY29" s="3">
        <v>163.9</v>
      </c>
      <c r="AZ29" s="3">
        <v>164.7</v>
      </c>
      <c r="BA29" s="3">
        <v>164.7</v>
      </c>
      <c r="BB29" s="3">
        <v>164.3</v>
      </c>
      <c r="BC29" s="3">
        <v>164.3</v>
      </c>
      <c r="BD29" s="3">
        <v>167.2</v>
      </c>
      <c r="BE29" s="3">
        <v>169.1</v>
      </c>
      <c r="BF29" s="3">
        <v>169.8</v>
      </c>
      <c r="BG29" s="3">
        <v>170.5</v>
      </c>
      <c r="BH29" s="3">
        <v>170.8</v>
      </c>
    </row>
    <row r="30" spans="1:60" x14ac:dyDescent="0.3">
      <c r="AG30" s="3" t="s">
        <v>34</v>
      </c>
      <c r="AH30" s="3" t="s">
        <v>48</v>
      </c>
      <c r="AI30" s="3" t="s">
        <v>9</v>
      </c>
      <c r="AJ30" s="30">
        <f t="shared" si="0"/>
        <v>0.35074653398470973</v>
      </c>
      <c r="AK30" s="3">
        <v>194.2</v>
      </c>
      <c r="AL30" s="3">
        <v>160</v>
      </c>
      <c r="AM30" s="3">
        <v>149.5</v>
      </c>
      <c r="AN30" s="3">
        <v>144.1</v>
      </c>
      <c r="AO30" s="3">
        <v>147.9</v>
      </c>
      <c r="AP30" s="3">
        <v>155.4</v>
      </c>
      <c r="AQ30" s="3">
        <v>164.2</v>
      </c>
      <c r="AR30" s="3">
        <v>162.19999999999999</v>
      </c>
      <c r="AS30" s="3">
        <v>162.30000000000001</v>
      </c>
      <c r="AT30" s="3">
        <v>185.3</v>
      </c>
      <c r="AU30" s="3">
        <v>199.2</v>
      </c>
      <c r="AV30" s="3">
        <v>188.3</v>
      </c>
      <c r="AW30" s="3">
        <v>174.3</v>
      </c>
      <c r="AX30" s="3">
        <v>169.7</v>
      </c>
      <c r="AY30" s="3">
        <v>166.9</v>
      </c>
      <c r="AZ30" s="3">
        <v>166.2</v>
      </c>
      <c r="BA30" s="3">
        <v>174.9</v>
      </c>
      <c r="BB30" s="3">
        <v>182.3</v>
      </c>
      <c r="BC30" s="3">
        <v>182.1</v>
      </c>
      <c r="BD30" s="3">
        <v>186.7</v>
      </c>
      <c r="BE30" s="3">
        <v>191.8</v>
      </c>
      <c r="BF30" s="3">
        <v>199.7</v>
      </c>
      <c r="BG30" s="3">
        <v>183.1</v>
      </c>
      <c r="BH30" s="3">
        <v>159.9</v>
      </c>
    </row>
    <row r="31" spans="1:60" x14ac:dyDescent="0.3">
      <c r="AG31" s="3" t="s">
        <v>34</v>
      </c>
      <c r="AH31" s="3" t="s">
        <v>48</v>
      </c>
      <c r="AI31" s="3" t="s">
        <v>5</v>
      </c>
      <c r="AJ31" s="30">
        <f t="shared" si="0"/>
        <v>-0.2036224701816976</v>
      </c>
      <c r="AK31" s="3">
        <v>175.3</v>
      </c>
      <c r="AL31" s="3">
        <v>168.7</v>
      </c>
      <c r="AM31" s="3">
        <v>163.80000000000001</v>
      </c>
      <c r="AN31" s="3">
        <v>164.6</v>
      </c>
      <c r="AO31" s="3">
        <v>170.3</v>
      </c>
      <c r="AP31" s="3">
        <v>180.7</v>
      </c>
      <c r="AQ31" s="3">
        <v>182.2</v>
      </c>
      <c r="AR31" s="3">
        <v>172.8</v>
      </c>
      <c r="AS31" s="3">
        <v>172.8</v>
      </c>
      <c r="AT31" s="3">
        <v>171.2</v>
      </c>
      <c r="AU31" s="3">
        <v>173</v>
      </c>
      <c r="AV31" s="3">
        <v>177.9</v>
      </c>
      <c r="AW31" s="3">
        <v>178.8</v>
      </c>
      <c r="AX31" s="3">
        <v>175.8</v>
      </c>
      <c r="AY31" s="3">
        <v>167.8</v>
      </c>
      <c r="AZ31" s="3">
        <v>164.5</v>
      </c>
      <c r="BA31" s="3">
        <v>162.4</v>
      </c>
      <c r="BB31" s="3">
        <v>170.8</v>
      </c>
      <c r="BC31" s="3">
        <v>175.2</v>
      </c>
      <c r="BD31" s="3">
        <v>169.2</v>
      </c>
      <c r="BE31" s="3">
        <v>169.7</v>
      </c>
      <c r="BF31" s="3">
        <v>170.9</v>
      </c>
      <c r="BG31" s="3">
        <v>181.4</v>
      </c>
      <c r="BH31" s="3">
        <v>190.2</v>
      </c>
    </row>
    <row r="33" spans="36:60" x14ac:dyDescent="0.3">
      <c r="AJ33" s="31">
        <f>SUMIFS($AJ$6:$AJ$30,AH6:AH30,"Food")</f>
        <v>6.7102353058218176</v>
      </c>
      <c r="AK33">
        <f t="shared" ref="AK33:BH33" si="1">SUMIFS(AK6:AK30,$AH$6:$AH$30,"Food")</f>
        <v>1749.4000000000003</v>
      </c>
      <c r="AL33">
        <f t="shared" si="1"/>
        <v>1715.1</v>
      </c>
      <c r="AM33">
        <f t="shared" si="1"/>
        <v>1719.0999999999997</v>
      </c>
      <c r="AN33">
        <f t="shared" si="1"/>
        <v>1741.8999999999999</v>
      </c>
      <c r="AO33">
        <f t="shared" si="1"/>
        <v>1776.1000000000001</v>
      </c>
      <c r="AP33">
        <f t="shared" si="1"/>
        <v>1793.2</v>
      </c>
      <c r="AQ33">
        <f t="shared" si="1"/>
        <v>1803.9</v>
      </c>
      <c r="AR33">
        <f t="shared" si="1"/>
        <v>1806.4999999999998</v>
      </c>
      <c r="AS33">
        <f t="shared" si="1"/>
        <v>1806.4999999999998</v>
      </c>
      <c r="AT33">
        <f t="shared" si="1"/>
        <v>1841.1000000000001</v>
      </c>
      <c r="AU33">
        <f t="shared" si="1"/>
        <v>1857.4</v>
      </c>
      <c r="AV33">
        <f t="shared" si="1"/>
        <v>1838.8</v>
      </c>
      <c r="AW33">
        <f t="shared" si="1"/>
        <v>1821.1</v>
      </c>
      <c r="AX33">
        <f t="shared" si="1"/>
        <v>1820.7000000000003</v>
      </c>
      <c r="AY33">
        <f t="shared" si="1"/>
        <v>1851.1</v>
      </c>
      <c r="AZ33">
        <f t="shared" si="1"/>
        <v>1883.6000000000001</v>
      </c>
      <c r="BA33">
        <f t="shared" si="1"/>
        <v>1909.4</v>
      </c>
      <c r="BB33">
        <f t="shared" si="1"/>
        <v>1923.2</v>
      </c>
      <c r="BC33">
        <f t="shared" si="1"/>
        <v>1922.6999999999998</v>
      </c>
      <c r="BD33">
        <f t="shared" si="1"/>
        <v>1931.2</v>
      </c>
      <c r="BE33">
        <f t="shared" si="1"/>
        <v>1941.7999999999997</v>
      </c>
      <c r="BF33">
        <f t="shared" si="1"/>
        <v>1956.5000000000002</v>
      </c>
      <c r="BG33">
        <f t="shared" si="1"/>
        <v>1944.9999999999998</v>
      </c>
      <c r="BH33">
        <f t="shared" si="1"/>
        <v>1922.2</v>
      </c>
    </row>
  </sheetData>
  <conditionalFormatting sqref="AJ5:AJ31 AJ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6:AJ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Solutions</vt:lpstr>
      <vt:lpstr>question 1</vt:lpstr>
      <vt:lpstr>question2</vt:lpstr>
      <vt:lpstr>Question3</vt:lpstr>
      <vt:lpstr>Question3.1</vt:lpstr>
      <vt:lpstr>Question4</vt:lpstr>
      <vt:lpstr>Question5</vt:lpstr>
      <vt:lpstr>Food</vt:lpstr>
      <vt:lpstr>Mmonth</vt:lpstr>
      <vt:lpstr>month</vt:lpstr>
      <vt:lpstr>sector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RS</dc:creator>
  <cp:lastModifiedBy>Gayathri RS</cp:lastModifiedBy>
  <dcterms:created xsi:type="dcterms:W3CDTF">2026-05-22T14:29:59Z</dcterms:created>
  <dcterms:modified xsi:type="dcterms:W3CDTF">2026-10-30T12:29:07Z</dcterms:modified>
</cp:coreProperties>
</file>